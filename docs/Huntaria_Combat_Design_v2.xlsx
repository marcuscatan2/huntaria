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f13e5b017624616" /></Relationships>
</file>

<file path=xl/workbook.xml><?xml version="1.0" encoding="utf-8"?>
<x:workbook xmlns:x="http://schemas.openxmlformats.org/spreadsheetml/2006/main">
  <x:sheets>
    <x:sheet xmlns:r="http://schemas.openxmlformats.org/officeDocument/2006/relationships" name="Start Here" sheetId="1" r:id="R4504ce45045344a7"/>
    <x:sheet xmlns:r="http://schemas.openxmlformats.org/officeDocument/2006/relationships" name="Species" sheetId="2" r:id="Rf4e13be7901f4699"/>
    <x:sheet xmlns:r="http://schemas.openxmlformats.org/officeDocument/2006/relationships" name="Signature Moves" sheetId="3" r:id="R28907a23479d4b99"/>
    <x:sheet xmlns:r="http://schemas.openxmlformats.org/officeDocument/2006/relationships" name="Tactical Builds" sheetId="4" r:id="R3c0409a8091f4c4c"/>
    <x:sheet xmlns:r="http://schemas.openxmlformats.org/officeDocument/2006/relationships" name="General Moves" sheetId="5" r:id="R11e42236cb5b4234"/>
    <x:sheet xmlns:r="http://schemas.openxmlformats.org/officeDocument/2006/relationships" name="Rules &amp; Tuning" sheetId="6" r:id="R743d1d04cd544d78"/>
    <x:sheet xmlns:r="http://schemas.openxmlformats.org/officeDocument/2006/relationships" name="Original CSV" sheetId="7" r:id="R2b991afde7cd4c2d"/>
    <x:sheet xmlns:r="http://schemas.openxmlformats.org/officeDocument/2006/relationships" name="Change Log" sheetId="8" r:id="R65ad31e09a064c88"/>
    <x:sheet xmlns:r="http://schemas.openxmlformats.org/officeDocument/2006/relationships" name="Entity Profiles" sheetId="9" r:id="Rae10444278fa4251"/>
  </x:sheets>
</x:workbook>
</file>

<file path=xl/sharedStrings.xml><?xml version="1.0" encoding="utf-8"?>
<x:sst xmlns:x="http://schemas.openxmlformats.org/spreadsheetml/2006/main"/>
</file>

<file path=xl/styles.xml><?xml version="1.0" encoding="utf-8"?>
<x:styleSheet xmlns:x="http://schemas.openxmlformats.org/spreadsheetml/2006/main">
  <x:fonts count="13">
    <x:font>
      <x:sz val="11"/>
      <x:name val="Carlito"/>
    </x:font>
    <x:font>
      <x:sz val="11"/>
      <x:color rgb="FF20364A"/>
      <x:name val="Carlito"/>
    </x:font>
    <x:font>
      <x:b/>
      <x:sz val="11"/>
      <x:color rgb="FFFFFFFF"/>
      <x:name val="Carlito"/>
    </x:font>
    <x:font>
      <x:sz val="11"/>
      <x:color rgb="FF5A6A78"/>
      <x:name val="Carlito"/>
    </x:font>
    <x:font>
      <x:b/>
      <x:sz val="11"/>
      <x:color rgb="FF17324D"/>
      <x:name val="Carlito"/>
    </x:font>
    <x:font>
      <x:b/>
      <x:sz val="11"/>
      <x:color rgb="FF0F766E"/>
      <x:name val="Carlito"/>
    </x:font>
    <x:font>
      <x:sz val="11"/>
      <x:color rgb="FF0F766E"/>
      <x:name val="Carlito"/>
    </x:font>
    <x:font>
      <x:sz val="10"/>
      <x:color rgb="FF223847"/>
      <x:name val="Carlito"/>
    </x:font>
    <x:font>
      <x:b/>
      <x:sz val="10"/>
      <x:color rgb="FFFFFFFF"/>
      <x:name val="Carlito"/>
    </x:font>
    <x:font>
      <x:b/>
      <x:sz val="15"/>
      <x:color rgb="FFFFFFFF"/>
      <x:name val="Carlito"/>
    </x:font>
    <x:font>
      <x:b/>
      <x:sz val="17"/>
      <x:color rgb="FFFFFFFF"/>
      <x:name val="Carlito"/>
    </x:font>
    <x:font>
      <x:b/>
      <x:sz val="10"/>
      <x:color rgb="FF19364D"/>
      <x:name val="Carlito"/>
    </x:font>
    <x:font>
      <x:b/>
      <x:sz val="9"/>
      <x:color rgb="FF19364D"/>
      <x:name val="Carlito"/>
    </x:font>
  </x:fonts>
  <x:fills count="11">
    <x:fill>
      <x:patternFill patternType="none"/>
    </x:fill>
    <x:fill>
      <x:patternFill patternType="gray125"/>
    </x:fill>
    <x:fill>
      <x:patternFill patternType="solid">
        <x:fgColor rgb="FF17324D"/>
      </x:patternFill>
    </x:fill>
    <x:fill>
      <x:patternFill patternType="solid">
        <x:fgColor rgb="FF0F766E"/>
      </x:patternFill>
    </x:fill>
    <x:fill>
      <x:patternFill patternType="solid">
        <x:fgColor rgb="FFEEF5F8"/>
      </x:patternFill>
    </x:fill>
    <x:fill>
      <x:patternFill patternType="solid">
        <x:fgColor rgb="FFFFF3D6"/>
      </x:patternFill>
    </x:fill>
    <x:fill>
      <x:patternFill patternType="solid">
        <x:fgColor rgb="FFE6F4EA"/>
      </x:patternFill>
    </x:fill>
    <x:fill>
      <x:patternFill patternType="solid">
        <x:fgColor rgb="FF107D79"/>
      </x:patternFill>
    </x:fill>
    <x:fill>
      <x:patternFill patternType="solid">
        <x:fgColor rgb="FF19364D"/>
      </x:patternFill>
    </x:fill>
    <x:fill>
      <x:patternFill patternType="solid">
        <x:fgColor rgb="FFFFFFFF"/>
      </x:patternFill>
    </x:fill>
    <x:fill>
      <x:patternFill patternType="solid">
        <x:fgColor rgb="FFEFF5F8"/>
      </x:patternFill>
    </x:fill>
  </x:fills>
  <x:borders count="2">
    <x:border/>
    <x:border/>
  </x:borders>
  <x:cellStyleXfs count="1">
    <x:xf numFmtId="0" fontId="0" fillId="0" borderId="0"/>
  </x:cellStyleXfs>
  <x:cellXfs count="72">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1" xfId="0" applyNumberFormat="1" applyFont="1" applyFill="1" applyBorder="1" applyAlignment="1">
      <x:alignment vertical="center" wrapText="1"/>
    </x:xf>
    <x:xf numFmtId="0" fontId="3" fillId="0" borderId="0"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center" wrapText="1"/>
    </x:xf>
    <x:xf numFmtId="0" fontId="1" fillId="3"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1" xfId="0" applyNumberFormat="1" applyFont="1" applyFill="1" applyBorder="1" applyAlignment="1">
      <x:alignment vertical="center" wrapText="1"/>
    </x:xf>
    <x:xf numFmtId="0" fontId="1" fillId="0" borderId="0"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1" fillId="4" borderId="0" xfId="0" applyNumberFormat="1" applyFont="1" applyFill="1" applyBorder="1" applyAlignment="1">
      <x:alignment vertical="top" wrapText="1"/>
    </x:xf>
    <x:xf numFmtId="0" fontId="1" fillId="4" borderId="1" xfId="0" applyNumberFormat="1" applyFont="1" applyFill="1" applyBorder="1" applyAlignment="1">
      <x:alignment vertical="top" wrapText="1"/>
    </x:xf>
    <x:xf numFmtId="0" fontId="1" fillId="0" borderId="0"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0" fontId="3" fillId="0" borderId="1"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2" fillId="3" borderId="0" xfId="0" applyNumberFormat="1" applyFont="1" applyFill="1" applyBorder="1" applyAlignment="1">
      <x:alignment horizontal="center" vertical="center" wrapText="1"/>
    </x:xf>
    <x:xf numFmtId="0" fontId="1" fillId="3" borderId="1" xfId="0" applyNumberFormat="1" applyFont="1" applyFill="1" applyBorder="1" applyAlignment="1">
      <x:alignment vertical="center" wrapText="1"/>
    </x:xf>
    <x:xf numFmtId="0" fontId="2" fillId="3" borderId="1" xfId="0" applyNumberFormat="1" applyFont="1" applyFill="1" applyBorder="1" applyAlignment="1">
      <x:alignment horizontal="center" vertical="center" wrapText="1"/>
    </x:xf>
    <x:xf numFmtId="0" fontId="1" fillId="4" borderId="0" xfId="0" applyNumberFormat="1" applyFont="1" applyFill="1" applyBorder="1" applyAlignment="1">
      <x:alignment vertical="center" wrapText="1"/>
    </x:xf>
    <x:xf numFmtId="0" fontId="4" fillId="4" borderId="0" xfId="0" applyNumberFormat="1" applyFont="1" applyFill="1" applyBorder="1" applyAlignment="1">
      <x:alignment vertical="center" wrapText="1"/>
    </x:xf>
    <x:xf numFmtId="0" fontId="4" fillId="4" borderId="0" xfId="0" applyNumberFormat="1" applyFont="1" applyFill="1" applyBorder="1" applyAlignment="1">
      <x:alignment horizontal="center" vertical="center" wrapText="1"/>
    </x:xf>
    <x:xf numFmtId="0" fontId="1" fillId="4" borderId="1" xfId="0" applyNumberFormat="1" applyFont="1" applyFill="1" applyBorder="1" applyAlignment="1">
      <x:alignment vertical="center" wrapText="1"/>
    </x:xf>
    <x:xf numFmtId="0" fontId="4" fillId="4" borderId="1" xfId="0" applyNumberFormat="1" applyFont="1" applyFill="1" applyBorder="1" applyAlignment="1">
      <x:alignment vertical="center" wrapText="1"/>
    </x:xf>
    <x:xf numFmtId="0" fontId="4" fillId="4" borderId="1" xfId="0" applyNumberFormat="1" applyFont="1" applyFill="1" applyBorder="1" applyAlignment="1">
      <x:alignment horizontal="center" vertical="center" wrapText="1"/>
    </x:xf>
    <x:xf numFmtId="0" fontId="5" fillId="0" borderId="0" xfId="0" applyNumberFormat="1" applyFont="1" applyFill="1" applyBorder="1" applyAlignment="1">
      <x:alignment vertical="center" wrapText="1"/>
    </x:xf>
    <x:xf numFmtId="0" fontId="5" fillId="0" borderId="1"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1" fillId="5" borderId="1" xfId="0" applyNumberFormat="1" applyFont="1" applyFill="1" applyBorder="1" applyAlignment="1">
      <x:alignment vertical="center" wrapText="1"/>
    </x:xf>
    <x:xf numFmtId="0" fontId="1" fillId="6" borderId="0" xfId="0" applyNumberFormat="1" applyFont="1" applyFill="1" applyBorder="1" applyAlignment="1">
      <x:alignment vertical="center" wrapText="1"/>
    </x:xf>
    <x:xf numFmtId="0" fontId="6" fillId="6" borderId="0" xfId="0" applyNumberFormat="1" applyFont="1" applyFill="1" applyBorder="1" applyAlignment="1">
      <x:alignment vertical="center" wrapText="1"/>
    </x:xf>
    <x:xf numFmtId="0" fontId="0" fillId="0" borderId="0" xfId="0" applyNumberFormat="1" applyFont="1" applyFill="1" applyBorder="1"/>
    <x:xf numFmtId="0" fontId="7" fillId="0" borderId="0" xfId="0" applyNumberFormat="1" applyFont="1" applyFill="1" applyBorder="1" applyAlignment="1">
      <x:alignment horizontal="center" vertical="top" wrapText="1"/>
    </x:xf>
    <x:xf numFmtId="0" fontId="7" fillId="0" borderId="0" xfId="0" applyNumberFormat="1" applyFont="1" applyFill="1" applyBorder="1" applyAlignment="1">
      <x:alignment vertical="top" wrapText="1"/>
    </x:xf>
    <x:xf numFmtId="0" fontId="7" fillId="4" borderId="0" xfId="0" applyNumberFormat="1" applyFont="1" applyFill="1" applyBorder="1" applyAlignment="1">
      <x:alignment vertical="top" wrapText="1"/>
    </x:xf>
    <x:xf numFmtId="0" fontId="7" fillId="0" borderId="0" xfId="0" applyNumberFormat="1" applyFont="1" applyFill="1" applyBorder="1"/>
    <x:xf numFmtId="0" fontId="7" fillId="0" borderId="0" xfId="0" applyNumberFormat="1" applyFont="1" applyFill="1" applyBorder="1" applyAlignment="1">
      <x:alignment wrapText="1"/>
    </x:xf>
    <x:xf numFmtId="0" fontId="2" fillId="7" borderId="0" xfId="0" applyNumberFormat="1" applyFont="1" applyFill="1" applyBorder="1" applyAlignment="1">
      <x:alignment vertical="center" wrapText="1"/>
    </x:xf>
    <x:xf numFmtId="0" fontId="0" fillId="7" borderId="0" xfId="0" applyNumberFormat="1" applyFont="1" applyFill="1" applyBorder="1"/>
    <x:xf numFmtId="0" fontId="8" fillId="7" borderId="0" xfId="0" applyNumberFormat="1" applyFont="1" applyFill="1" applyBorder="1" applyAlignment="1">
      <x:alignment vertical="center" wrapText="1"/>
    </x:xf>
    <x:xf numFmtId="0" fontId="8" fillId="7" borderId="0" xfId="0" applyNumberFormat="1" applyFont="1" applyFill="1" applyBorder="1"/>
    <x:xf numFmtId="0" fontId="8" fillId="7" borderId="0" xfId="0" applyNumberFormat="1" applyFont="1" applyFill="1" applyBorder="1" applyAlignment="1">
      <x:alignment wrapText="1"/>
    </x:xf>
    <x:xf numFmtId="0" fontId="2" fillId="8" borderId="0" xfId="0" applyNumberFormat="1" applyFont="1" applyFill="1" applyBorder="1" applyAlignment="1">
      <x:alignment vertical="center" wrapText="1"/>
    </x:xf>
    <x:xf numFmtId="0" fontId="0" fillId="8" borderId="0" xfId="0" applyNumberFormat="1" applyFont="1" applyFill="1" applyBorder="1"/>
    <x:xf numFmtId="0" fontId="9" fillId="8" borderId="0" xfId="0" applyNumberFormat="1" applyFont="1" applyFill="1" applyBorder="1" applyAlignment="1">
      <x:alignment vertical="center" wrapText="1"/>
    </x:xf>
    <x:xf numFmtId="0" fontId="9" fillId="8" borderId="0" xfId="0" applyNumberFormat="1" applyFont="1" applyFill="1" applyBorder="1"/>
    <x:xf numFmtId="0" fontId="9" fillId="8" borderId="0" xfId="0" applyNumberFormat="1" applyFont="1" applyFill="1" applyBorder="1" applyAlignment="1">
      <x:alignment vertical="center"/>
    </x:xf>
    <x:xf numFmtId="0" fontId="10" fillId="8" borderId="0" xfId="0" applyNumberFormat="1" applyFont="1" applyFill="1" applyBorder="1" applyAlignment="1">
      <x:alignment vertical="center" wrapText="1"/>
    </x:xf>
    <x:xf numFmtId="0" fontId="3" fillId="9" borderId="0" xfId="0" applyNumberFormat="1" applyFont="1" applyFill="1" applyBorder="1" applyAlignment="1">
      <x:alignment vertical="center" wrapText="1"/>
    </x:xf>
    <x:xf numFmtId="0" fontId="7" fillId="9" borderId="0" xfId="0" applyNumberFormat="1" applyFont="1" applyFill="1" applyBorder="1" applyAlignment="1">
      <x:alignment vertical="center" wrapText="1"/>
    </x:xf>
    <x:xf numFmtId="0" fontId="5" fillId="10" borderId="0" xfId="0" applyNumberFormat="1" applyFont="1" applyFill="1" applyBorder="1" applyAlignment="1">
      <x:alignment vertical="center" wrapText="1"/>
    </x:xf>
    <x:xf numFmtId="0" fontId="11" fillId="10" borderId="0" xfId="0" applyNumberFormat="1" applyFont="1" applyFill="1" applyBorder="1" applyAlignment="1">
      <x:alignment vertical="center" wrapText="1"/>
    </x:xf>
    <x:xf numFmtId="0" fontId="1" fillId="9" borderId="0" xfId="0" applyNumberFormat="1" applyFont="1" applyFill="1" applyBorder="1" applyAlignment="1">
      <x:alignment vertical="center" wrapText="1"/>
    </x:xf>
    <x:xf numFmtId="0" fontId="6" fillId="10" borderId="0" xfId="0" applyNumberFormat="1" applyFont="1" applyFill="1" applyBorder="1" applyAlignment="1">
      <x:alignment vertical="center" wrapText="1"/>
    </x:xf>
    <x:xf numFmtId="0" fontId="12" fillId="10" borderId="0" xfId="0" applyNumberFormat="1" applyFont="1" applyFill="1" applyBorder="1" applyAlignment="1">
      <x:alignment vertical="center" wrapText="1"/>
    </x:xf>
  </x:cellXfs>
  <x:cellStyles count="1">
    <x:cellStyle name="Normal" xfId="0"/>
  </x:cellStyles>
  <x:dxfs count="5">
    <x:dxf>
      <x:font>
        <x:b/>
        <x:color rgb="FF0F766E"/>
      </x:font>
      <x:fill>
        <x:patternFill>
          <x:bgColor rgb="FFE6F4EA"/>
        </x:patternFill>
      </x:fill>
    </x:dxf>
    <x:dxf>
      <x:fill>
        <x:patternFill>
          <x:bgColor rgb="FFFFF3D6"/>
        </x:patternFill>
      </x:fill>
    </x:dxf>
    <x:dxf>
      <x:fill>
        <x:patternFill>
          <x:bgColor rgb="FFE9F3FB"/>
        </x:patternFill>
      </x:fill>
    </x:dxf>
    <x:dxf>
      <x:fill>
        <x:patternFill>
          <x:bgColor rgb="FFE6F4EA"/>
        </x:patternFill>
      </x:fill>
    </x:dxf>
    <x:dxf>
      <x:fill>
        <x:patternFill>
          <x:bgColor rgb="FFFFF3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369d930640f4990" /><Relationship Type="http://schemas.openxmlformats.org/officeDocument/2006/relationships/theme" Target="/xl/theme/theme1.xml" Id="Rd459bf05c9bc43f5" /><Relationship Type="http://schemas.openxmlformats.org/officeDocument/2006/relationships/sharedStrings" Target="/xl/sharedStrings.xml" Id="R36d2dedf16ab49cd" /><Relationship Type="http://schemas.openxmlformats.org/officeDocument/2006/relationships/worksheet" Target="/xl/worksheets/sheet1.xml" Id="R4504ce45045344a7" /><Relationship Type="http://schemas.openxmlformats.org/officeDocument/2006/relationships/worksheet" Target="/xl/worksheets/sheet2.xml" Id="Rf4e13be7901f4699" /><Relationship Type="http://schemas.openxmlformats.org/officeDocument/2006/relationships/worksheet" Target="/xl/worksheets/sheet3.xml" Id="R28907a23479d4b99" /><Relationship Type="http://schemas.openxmlformats.org/officeDocument/2006/relationships/worksheet" Target="/xl/worksheets/sheet4.xml" Id="R3c0409a8091f4c4c" /><Relationship Type="http://schemas.openxmlformats.org/officeDocument/2006/relationships/worksheet" Target="/xl/worksheets/sheet5.xml" Id="R11e42236cb5b4234" /><Relationship Type="http://schemas.openxmlformats.org/officeDocument/2006/relationships/worksheet" Target="/xl/worksheets/sheet6.xml" Id="R743d1d04cd544d78" /><Relationship Type="http://schemas.openxmlformats.org/officeDocument/2006/relationships/worksheet" Target="/xl/worksheets/sheet7.xml" Id="R2b991afde7cd4c2d" /><Relationship Type="http://schemas.openxmlformats.org/officeDocument/2006/relationships/worksheet" Target="/xl/worksheets/sheet8.xml" Id="R65ad31e09a064c88" /><Relationship Type="http://schemas.openxmlformats.org/officeDocument/2006/relationships/worksheet" Target="/xl/worksheets/sheet9.xml" Id="Rae10444278fa4251" /></Relationships>
</file>

<file path=xl/tables/table1.xml><?xml version="1.0" encoding="utf-8"?>
<x:table xmlns:x="http://schemas.openxmlformats.org/spreadsheetml/2006/main" id="7" name="SpeciesV2" displayName="SpeciesV2" ref="A5:L105" headerRowCount="1" totalsRowCount="0" totalsRowShown="0">
  <x:tableColumns count="12">
    <x:tableColumn id="1" name="ID"/>
    <x:tableColumn id="2" name="Species"/>
    <x:tableColumn id="3" name="Role (source)"/>
    <x:tableColumn id="4" name="Attack base (source)"/>
    <x:tableColumn id="5" name="Basic attack delivery"/>
    <x:tableColumn id="6" name="Combat identity"/>
    <x:tableColumn id="7" name="Passive name"/>
    <x:tableColumn id="8" name="Passive effect"/>
    <x:tableColumn id="9" name="Split-stat branch?"/>
    <x:tableColumn id="10" name="Implementation"/>
    <x:tableColumn id="11" name="Counterplay / safeguards"/>
    <x:tableColumn id="12" name="Final-pass status"/>
  </x:tableColumns>
  <x:tableStyleInfo name="TableStyleMedium2" showFirstColumn="0" showLastColumn="0" showRowStripes="1" showColumnStripes="0"/>
</x:table>
</file>

<file path=xl/tables/table2.xml><?xml version="1.0" encoding="utf-8"?>
<x:table xmlns:x="http://schemas.openxmlformats.org/spreadsheetml/2006/main" id="8" name="SignaturesV2" displayName="SignaturesV2" ref="A5:F309" headerRowCount="1" totalsRowCount="0" totalsRowShown="0">
  <x:tableColumns count="6">
    <x:tableColumn id="1" name="Species ID"/>
    <x:tableColumn id="2" name="Species"/>
    <x:tableColumn id="3" name="Slot / CD (s)"/>
    <x:tableColumn id="4" name="Signature move"/>
    <x:tableColumn id="5" name="Effect / scaling"/>
    <x:tableColumn id="6" name="Automatic cast condition"/>
  </x:tableColumns>
  <x:tableStyleInfo name="TableStyleMedium2" showFirstColumn="0" showLastColumn="0" showRowStripes="1" showColumnStripes="0"/>
</x:table>
</file>

<file path=xl/tables/table3.xml><?xml version="1.0" encoding="utf-8"?>
<x:table xmlns:x="http://schemas.openxmlformats.org/spreadsheetml/2006/main" id="9" name="BuildsV2" displayName="BuildsV2" ref="A5:I205" headerRowCount="1" totalsRowCount="0" totalsRowShown="0">
  <x:tableColumns count="9">
    <x:tableColumn id="1" name="Species ID"/>
    <x:tableColumn id="2" name="Species"/>
    <x:tableColumn id="3" name="Strategy"/>
    <x:tableColumn id="4" name="Placement"/>
    <x:tableColumn id="5" name="Stat priorities"/>
    <x:tableColumn id="6" name="4s slot"/>
    <x:tableColumn id="7" name="8s slot"/>
    <x:tableColumn id="8" name="12s slot"/>
    <x:tableColumn id="9" name="How the build works"/>
  </x:tableColumns>
  <x:tableStyleInfo name="TableStyleMedium2" showFirstColumn="0" showLastColumn="0" showRowStripes="1" showColumnStripes="0"/>
</x:table>
</file>

<file path=xl/tables/table4.xml><?xml version="1.0" encoding="utf-8"?>
<x:table xmlns:x="http://schemas.openxmlformats.org/spreadsheetml/2006/main" id="4" name="GeneralMovesTable" displayName="GeneralMovesTable" ref="A5:D16" headerRowCount="1" totalsRowCount="0" totalsRowShown="0">
  <x:tableColumns count="4">
    <x:tableColumn id="1" name="Slot / CD (s)"/>
    <x:tableColumn id="2" name="General move"/>
    <x:tableColumn id="3" name="Effect / scaling"/>
    <x:tableColumn id="4" name="Automatic cast condition"/>
  </x:tableColumns>
  <x:tableStyleInfo name="TableStyleMedium2" showFirstColumn="0" showLastColumn="0" showRowStripes="1" showColumnStripes="0"/>
</x:table>
</file>

<file path=xl/tables/table5.xml><?xml version="1.0" encoding="utf-8"?>
<x:table xmlns:x="http://schemas.openxmlformats.org/spreadsheetml/2006/main" id="10" name="RulesV2" displayName="RulesV2" ref="A5:C45" headerRowCount="1" totalsRowCount="0" totalsRowShown="0">
  <x:tableColumns count="3">
    <x:tableColumn id="1" name="Topic"/>
    <x:tableColumn id="2" name="Working proposal"/>
    <x:tableColumn id="3" name="Decision / verification"/>
  </x:tableColumns>
  <x:tableStyleInfo name="TableStyleMedium2" showFirstColumn="0" showLastColumn="0" showRowStripes="1" showColumnStripes="0"/>
</x:table>
</file>

<file path=xl/tables/table6.xml><?xml version="1.0" encoding="utf-8"?>
<x:table xmlns:x="http://schemas.openxmlformats.org/spreadsheetml/2006/main" id="6" name="OriginalRosterTable" displayName="OriginalRosterTable" ref="A5:H105" headerRowCount="1" totalsRowCount="0" totalsRowShown="0">
  <x:tableColumns count="8">
    <x:tableColumn id="1" name="#"/>
    <x:tableColumn id="2" name="Monster"/>
    <x:tableColumn id="3" name="Visual description"/>
    <x:tableColumn id="4" name="Main role"/>
    <x:tableColumn id="5" name="Primary appeal"/>
    <x:tableColumn id="6" name="Secondary appeal"/>
    <x:tableColumn id="7" name="Inspiration family"/>
    <x:tableColumn id="8" name="Atk Base"/>
  </x:tableColumns>
  <x:tableStyleInfo name="TableStyleMedium2" showFirstColumn="0" showLastColumn="0" showRowStripes="1" showColumnStripes="0"/>
</x:table>
</file>

<file path=xl/tables/table7.xml><?xml version="1.0" encoding="utf-8"?>
<x:table xmlns:x="http://schemas.openxmlformats.org/spreadsheetml/2006/main" id="11" name="ChangeLogV2" displayName="ChangeLogV2" ref="A5:G25" headerRowCount="1" totalsRowCount="0" totalsRowShown="0">
  <x:tableColumns count="7">
    <x:tableColumn id="1" name="ID"/>
    <x:tableColumn id="2" name="Species"/>
    <x:tableColumn id="3" name="Change type"/>
    <x:tableColumn id="4" name="Why change"/>
    <x:tableColumn id="5" name="One boss"/>
    <x:tableColumn id="6" name="Groups / waves"/>
    <x:tableColumn id="7" name="New entities"/>
  </x:tableColumns>
  <x:tableStyleInfo name="TableStyleMedium2" showFirstColumn="0" showLastColumn="0" showRowStripes="1" showColumnStripes="0"/>
</x:table>
</file>

<file path=xl/tables/table8.xml><?xml version="1.0" encoding="utf-8"?>
<x:table xmlns:x="http://schemas.openxmlformats.org/spreadsheetml/2006/main" id="12" name="EntitiesV2" displayName="EntitiesV2" ref="A5:J22" headerRowCount="1" totalsRowCount="0" totalsRowShown="0">
  <x:tableColumns count="10">
    <x:tableColumn id="1" name="Owner"/>
    <x:tableColumn id="2" name="Entity"/>
    <x:tableColumn id="3" name="Type"/>
    <x:tableColumn id="4" name="Owner cap"/>
    <x:tableColumn id="5" name="HP"/>
    <x:tableColumn id="6" name="Lifetime"/>
    <x:tableColumn id="7" name="Actions / scaling"/>
    <x:tableColumn id="8" name="Placement / targeting"/>
    <x:tableColumn id="9" name="Trigger / death policy"/>
    <x:tableColumn id="10" name="Limit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82c43e7a81b47d3" /></Relationships>
</file>

<file path=xl/worksheets/_rels/sheet3.xml.rels>&#65279;<?xml version="1.0" encoding="utf-8"?><Relationships xmlns="http://schemas.openxmlformats.org/package/2006/relationships"><Relationship Type="http://schemas.openxmlformats.org/officeDocument/2006/relationships/table" Target="/xl/tables/table2.xml" Id="R82f4cd1be79f4c54" /></Relationships>
</file>

<file path=xl/worksheets/_rels/sheet4.xml.rels>&#65279;<?xml version="1.0" encoding="utf-8"?><Relationships xmlns="http://schemas.openxmlformats.org/package/2006/relationships"><Relationship Type="http://schemas.openxmlformats.org/officeDocument/2006/relationships/table" Target="/xl/tables/table3.xml" Id="R2fe5da2684cc4061" /></Relationships>
</file>

<file path=xl/worksheets/_rels/sheet5.xml.rels>&#65279;<?xml version="1.0" encoding="utf-8"?><Relationships xmlns="http://schemas.openxmlformats.org/package/2006/relationships"><Relationship Type="http://schemas.openxmlformats.org/officeDocument/2006/relationships/table" Target="/xl/tables/table4.xml" Id="R720899ae0c3946c3" /></Relationships>
</file>

<file path=xl/worksheets/_rels/sheet6.xml.rels>&#65279;<?xml version="1.0" encoding="utf-8"?><Relationships xmlns="http://schemas.openxmlformats.org/package/2006/relationships"><Relationship Type="http://schemas.openxmlformats.org/officeDocument/2006/relationships/table" Target="/xl/tables/table5.xml" Id="R36e5bee28f7041ae" /></Relationships>
</file>

<file path=xl/worksheets/_rels/sheet7.xml.rels>&#65279;<?xml version="1.0" encoding="utf-8"?><Relationships xmlns="http://schemas.openxmlformats.org/package/2006/relationships"><Relationship Type="http://schemas.openxmlformats.org/officeDocument/2006/relationships/table" Target="/xl/tables/table6.xml" Id="R679d829ea02944b3" /></Relationships>
</file>

<file path=xl/worksheets/_rels/sheet8.xml.rels>&#65279;<?xml version="1.0" encoding="utf-8"?><Relationships xmlns="http://schemas.openxmlformats.org/package/2006/relationships"><Relationship Type="http://schemas.openxmlformats.org/officeDocument/2006/relationships/table" Target="/xl/tables/table7.xml" Id="Rec3fd31c646d4c57" /></Relationships>
</file>

<file path=xl/worksheets/_rels/sheet9.xml.rels>&#65279;<?xml version="1.0" encoding="utf-8"?><Relationships xmlns="http://schemas.openxmlformats.org/package/2006/relationships"><Relationship Type="http://schemas.openxmlformats.org/officeDocument/2006/relationships/table" Target="/xl/tables/table8.xml" Id="R1767a39b861a4265" /></Relationships>
</file>

<file path=xl/worksheets/sheet1.xml><?xml version="1.0" encoding="utf-8"?>
<x:worksheet xmlns:x="http://schemas.openxmlformats.org/spreadsheetml/2006/main">
  <x:sheetFormatPr defaultRowHeight="15"/>
  <x:cols>
    <x:col min="1" max="1" width="17"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s>
  <x:sheetData>
    <x:row r="1" ht="23" customHeight="1">
      <x:c r="A1" s="64" t="str">
        <x:v>HUNTARIA  |  FREE-ARENA COMBAT DESIGN</x:v>
      </x:c>
      <x:c r="B1" s="64"/>
      <x:c r="C1" s="64"/>
      <x:c r="D1" s="64"/>
      <x:c r="E1" s="64"/>
      <x:c r="F1" s="64"/>
      <x:c r="G1" s="64"/>
      <x:c r="H1" s="64"/>
    </x:row>
    <x:row r="2" ht="23" customHeight="1">
      <x:c r="A2" s="64"/>
      <x:c r="B2" s="64"/>
      <x:c r="C2" s="64"/>
      <x:c r="D2" s="64"/>
      <x:c r="E2" s="64"/>
      <x:c r="F2" s="64"/>
      <x:c r="G2" s="64"/>
      <x:c r="H2" s="64"/>
    </x:row>
    <x:row r="3" ht="28" customHeight="1">
      <x:c r="A3" s="66" t="str">
        <x:v>Final editorial pass v2  •  14 arena reworks + 6 encounter fixes + 80 retained kits</x:v>
      </x:c>
      <x:c r="B3" s="66"/>
      <x:c r="C3" s="66"/>
      <x:c r="D3" s="66"/>
      <x:c r="E3" s="66"/>
      <x:c r="F3" s="66"/>
      <x:c r="G3" s="66"/>
      <x:c r="H3" s="66"/>
    </x:row>
    <x:row r="4" ht="9" customHeight="1">
      <x:c r="A4" s="26"/>
      <x:c r="B4" s="26"/>
      <x:c r="C4" s="26"/>
      <x:c r="D4" s="26"/>
      <x:c r="E4" s="26"/>
      <x:c r="F4" s="26"/>
      <x:c r="G4" s="26"/>
      <x:c r="H4" s="26"/>
    </x:row>
    <x:row r="5" ht="26" customHeight="1">
      <x:c r="A5" s="33" t="str">
        <x:v>SPECIES</x:v>
      </x:c>
      <x:c r="B5" s="33"/>
      <x:c r="C5" s="33" t="str">
        <x:v>SIGNATURE MOVES</x:v>
      </x:c>
      <x:c r="D5" s="33"/>
      <x:c r="E5" s="33" t="str">
        <x:v>TACTICAL BUILDS</x:v>
      </x:c>
      <x:c r="F5" s="33"/>
      <x:c r="G5" s="33" t="str">
        <x:v>TRUE HYBRID BRANCHES</x:v>
      </x:c>
      <x:c r="H5" s="33"/>
    </x:row>
    <x:row r="6" ht="26" customHeight="1">
      <x:c r="A6" s="38" t="n">
        <x:f>COUNTA(Species!B6:B105)</x:f>
        <x:v>100</x:v>
      </x:c>
      <x:c r="B6" s="38"/>
      <x:c r="C6" s="38" t="n">
        <x:f>COUNTA('Signature Moves'!D6:D309)</x:f>
        <x:v>304</x:v>
      </x:c>
      <x:c r="D6" s="38"/>
      <x:c r="E6" s="38" t="n">
        <x:f>COUNTA('Tactical Builds'!C6:C205)</x:f>
        <x:v>200</x:v>
      </x:c>
      <x:c r="F6" s="38"/>
      <x:c r="G6" s="38" t="n">
        <x:f>COUNTIF(Species!I6:I105,"Yes")</x:f>
        <x:v>5</x:v>
      </x:c>
      <x:c r="H6" s="38"/>
    </x:row>
    <x:row r="7" ht="26" customHeight="1">
      <x:c r="A7" s="38"/>
      <x:c r="B7" s="38"/>
      <x:c r="C7" s="38"/>
      <x:c r="D7" s="38"/>
      <x:c r="E7" s="38"/>
      <x:c r="F7" s="38"/>
      <x:c r="G7" s="38"/>
      <x:c r="H7" s="38"/>
    </x:row>
    <x:row r="8" ht="22" customHeight="1">
      <x:c r="A8" s="26"/>
      <x:c r="B8" s="26"/>
      <x:c r="C8" s="26"/>
      <x:c r="D8" s="26"/>
      <x:c r="E8" s="26"/>
      <x:c r="F8" s="26"/>
      <x:c r="G8" s="26"/>
      <x:c r="H8" s="26"/>
    </x:row>
    <x:row r="9" ht="28" customHeight="1">
      <x:c r="A9" s="68" t="str">
        <x:v>100 PASSIVES  |  304 SIGNATURE OPTIONS  |  EXACTLY THREE EQUIPPED ACTIVES PER BUILD</x:v>
      </x:c>
      <x:c r="B9" s="68"/>
      <x:c r="C9" s="68"/>
      <x:c r="D9" s="68"/>
      <x:c r="E9" s="68"/>
      <x:c r="F9" s="68"/>
      <x:c r="G9" s="68"/>
      <x:c r="H9" s="68"/>
    </x:row>
    <x:row r="10" ht="22" customHeight="1">
      <x:c r="A10" s="26"/>
      <x:c r="B10" s="26"/>
      <x:c r="C10" s="26"/>
      <x:c r="D10" s="26"/>
      <x:c r="E10" s="26"/>
      <x:c r="F10" s="26"/>
      <x:c r="G10" s="26"/>
      <x:c r="H10" s="26"/>
    </x:row>
    <x:row r="11" ht="24" customHeight="1">
      <x:c r="A11" s="54" t="str">
        <x:v>READ THE FINAL PASS</x:v>
      </x:c>
      <x:c r="B11" s="54"/>
      <x:c r="C11" s="54"/>
      <x:c r="D11" s="54"/>
      <x:c r="E11" s="54"/>
      <x:c r="F11" s="54"/>
      <x:c r="G11" s="54"/>
      <x:c r="H11" s="54"/>
    </x:row>
    <x:row r="12" ht="22" customHeight="1">
      <x:c r="A12" s="66" t="str">
        <x:v>Change Log: the 20 changed species and their boss/group roles. Entity Profiles: 17 summon, structure and zone specifications. Species / Signature Moves / Tactical Builds: the complete updated roster. Rules &amp; Tuning: revised engine proposals and safeguards. Original CSV: untouched source roster.</x:v>
      </x:c>
      <x:c r="B12" s="66"/>
      <x:c r="C12" s="66"/>
      <x:c r="D12" s="66"/>
      <x:c r="E12" s="66"/>
      <x:c r="F12" s="66"/>
      <x:c r="G12" s="66"/>
      <x:c r="H12" s="66"/>
    </x:row>
    <x:row r="13" ht="22" customHeight="1">
      <x:c r="A13" s="66"/>
      <x:c r="B13" s="66"/>
      <x:c r="C13" s="66"/>
      <x:c r="D13" s="66"/>
      <x:c r="E13" s="66"/>
      <x:c r="F13" s="66"/>
      <x:c r="G13" s="66"/>
      <x:c r="H13" s="66"/>
    </x:row>
    <x:row r="14" ht="22" customHeight="1">
      <x:c r="A14" s="66"/>
      <x:c r="B14" s="66"/>
      <x:c r="C14" s="66"/>
      <x:c r="D14" s="66"/>
      <x:c r="E14" s="66"/>
      <x:c r="F14" s="66"/>
      <x:c r="G14" s="66"/>
      <x:c r="H14" s="66"/>
    </x:row>
    <x:row r="15" ht="22" customHeight="1">
      <x:c r="A15" s="26"/>
      <x:c r="B15" s="26"/>
      <x:c r="C15" s="26"/>
      <x:c r="D15" s="26"/>
      <x:c r="E15" s="26"/>
      <x:c r="F15" s="26"/>
      <x:c r="G15" s="26"/>
      <x:c r="H15" s="26"/>
    </x:row>
    <x:row r="16" ht="24" customHeight="1">
      <x:c r="A16" s="54" t="str">
        <x:v>CONFIRMED ARENA SCOPE</x:v>
      </x:c>
      <x:c r="B16" s="54"/>
      <x:c r="C16" s="54"/>
      <x:c r="D16" s="54"/>
      <x:c r="E16" s="54"/>
      <x:c r="F16" s="54"/>
      <x:c r="G16" s="54"/>
      <x:c r="H16" s="54"/>
    </x:row>
    <x:row r="17" ht="22" customHeight="1">
      <x:c r="A17" s="66" t="str">
        <x:v>Free-space arena with one boss or many enemies; summons, structures and totems are allowed. Front / middle / back are deployment bands, not a six-body battle limit. Trainer death still ends combat. Party size and actual targeting / reach rules remain the prior draft's working conventions.</x:v>
      </x:c>
      <x:c r="B17" s="66"/>
      <x:c r="C17" s="66"/>
      <x:c r="D17" s="66"/>
      <x:c r="E17" s="66"/>
      <x:c r="F17" s="66"/>
      <x:c r="G17" s="66"/>
      <x:c r="H17" s="66"/>
    </x:row>
    <x:row r="18" ht="22" customHeight="1">
      <x:c r="A18" s="66"/>
      <x:c r="B18" s="66"/>
      <x:c r="C18" s="66"/>
      <x:c r="D18" s="66"/>
      <x:c r="E18" s="66"/>
      <x:c r="F18" s="66"/>
      <x:c r="G18" s="66"/>
      <x:c r="H18" s="66"/>
    </x:row>
    <x:row r="19" ht="22" customHeight="1">
      <x:c r="A19" s="66"/>
      <x:c r="B19" s="66"/>
      <x:c r="C19" s="66"/>
      <x:c r="D19" s="66"/>
      <x:c r="E19" s="66"/>
      <x:c r="F19" s="66"/>
      <x:c r="G19" s="66"/>
      <x:c r="H19" s="66"/>
    </x:row>
    <x:row r="20" ht="22" customHeight="1">
      <x:c r="A20" s="26"/>
      <x:c r="B20" s="26"/>
      <x:c r="C20" s="26"/>
      <x:c r="D20" s="26"/>
      <x:c r="E20" s="26"/>
      <x:c r="F20" s="26"/>
      <x:c r="G20" s="26"/>
      <x:c r="H20" s="26"/>
    </x:row>
    <x:row r="21" ht="24" customHeight="1">
      <x:c r="A21" s="54" t="str">
        <x:v>THREE SKILLS, NOT A FREE EXTRA PARTY</x:v>
      </x:c>
      <x:c r="B21" s="54"/>
      <x:c r="C21" s="54"/>
      <x:c r="D21" s="54"/>
      <x:c r="E21" s="54"/>
      <x:c r="F21" s="54"/>
      <x:c r="G21" s="54"/>
      <x:c r="H21" s="54"/>
    </x:row>
    <x:row r="22" ht="22" customHeight="1">
      <x:c r="A22" s="66" t="str">
        <x:v>The prior 4s / 8s / 12s tiers remain provisional. Cindertroop, Pinstitch, Crucibulk and Maskin each have a fourth signature option, but still equip only three actives. Summons have finite HP, lifetime, action budgets and owner caps; their damage and protection count against the owner's power budget.</x:v>
      </x:c>
      <x:c r="B22" s="66"/>
      <x:c r="C22" s="66"/>
      <x:c r="D22" s="66"/>
      <x:c r="E22" s="66"/>
      <x:c r="F22" s="66"/>
      <x:c r="G22" s="66"/>
      <x:c r="H22" s="66"/>
    </x:row>
    <x:row r="23" ht="22" customHeight="1">
      <x:c r="A23" s="66"/>
      <x:c r="B23" s="66"/>
      <x:c r="C23" s="66"/>
      <x:c r="D23" s="66"/>
      <x:c r="E23" s="66"/>
      <x:c r="F23" s="66"/>
      <x:c r="G23" s="66"/>
      <x:c r="H23" s="66"/>
    </x:row>
    <x:row r="24" ht="22" customHeight="1">
      <x:c r="A24" s="66"/>
      <x:c r="B24" s="66"/>
      <x:c r="C24" s="66"/>
      <x:c r="D24" s="66"/>
      <x:c r="E24" s="66"/>
      <x:c r="F24" s="66"/>
      <x:c r="G24" s="66"/>
      <x:c r="H24" s="66"/>
    </x:row>
    <x:row r="25" ht="22" customHeight="1">
      <x:c r="A25" s="26"/>
      <x:c r="B25" s="26"/>
      <x:c r="C25" s="26"/>
      <x:c r="D25" s="26"/>
      <x:c r="E25" s="26"/>
      <x:c r="F25" s="26"/>
      <x:c r="G25" s="26"/>
      <x:c r="H25" s="26"/>
    </x:row>
    <x:row r="26" ht="24" customHeight="1">
      <x:c r="A26" s="54" t="str">
        <x:v>SCALING, SUPPORT TARGETS &amp; HYBRIDS</x:v>
      </x:c>
      <x:c r="B26" s="54"/>
      <x:c r="C26" s="54"/>
      <x:c r="D26" s="54"/>
      <x:c r="E26" s="54"/>
      <x:c r="F26" s="54"/>
      <x:c r="G26" s="54"/>
      <x:c r="H26" s="54"/>
    </x:row>
    <x:row r="27" ht="22" customHeight="1">
      <x:c r="A27" s="66" t="str">
        <x:v>A = owner ATK; M = MATK; H = max HP; R = one ordinary melee-reach distance. Ordinary party heals, buffs and passive triggers target core allies, not temporary creatures. The same five optional ATK/MATK branches are retained; no new split-stat build is introduced.</x:v>
      </x:c>
      <x:c r="B27" s="66"/>
      <x:c r="C27" s="66"/>
      <x:c r="D27" s="66"/>
      <x:c r="E27" s="66"/>
      <x:c r="F27" s="66"/>
      <x:c r="G27" s="66"/>
      <x:c r="H27" s="66"/>
    </x:row>
    <x:row r="28" ht="22" customHeight="1">
      <x:c r="A28" s="66"/>
      <x:c r="B28" s="66"/>
      <x:c r="C28" s="66"/>
      <x:c r="D28" s="66"/>
      <x:c r="E28" s="66"/>
      <x:c r="F28" s="66"/>
      <x:c r="G28" s="66"/>
      <x:c r="H28" s="66"/>
    </x:row>
    <x:row r="29" ht="22" customHeight="1">
      <x:c r="A29" s="66"/>
      <x:c r="B29" s="66"/>
      <x:c r="C29" s="66"/>
      <x:c r="D29" s="66"/>
      <x:c r="E29" s="66"/>
      <x:c r="F29" s="66"/>
      <x:c r="G29" s="66"/>
      <x:c r="H29" s="66"/>
    </x:row>
    <x:row r="30" ht="22" customHeight="1">
      <x:c r="A30" s="26"/>
      <x:c r="B30" s="26"/>
      <x:c r="C30" s="26"/>
      <x:c r="D30" s="26"/>
      <x:c r="E30" s="26"/>
      <x:c r="F30" s="26"/>
      <x:c r="G30" s="26"/>
      <x:c r="H30" s="26"/>
    </x:row>
    <x:row r="31" ht="24" customHeight="1">
      <x:c r="A31" s="54" t="str">
        <x:v>NOT PLAYTESTED — VERIFY THE ENCOUNTER, NOT ONLY THE COEFFICIENT</x:v>
      </x:c>
      <x:c r="B31" s="54"/>
      <x:c r="C31" s="54"/>
      <x:c r="D31" s="54"/>
      <x:c r="E31" s="54"/>
      <x:c r="F31" s="54"/>
      <x:c r="G31" s="54"/>
      <x:c r="H31" s="54"/>
    </x:row>
    <x:row r="32" ht="22" customHeight="1">
      <x:c r="A32" s="66" t="str">
        <x:v>Test a lone boss without adds, boss-plus-adds, clustered groups, ranged fire and strong area damage. Check time-to-trainer-death, summon uptime, target locks and proc caps. A guardian cannot absorb more HP damage than its own remaining HP; future healing never undoes terminal damage.</x:v>
      </x:c>
      <x:c r="B32" s="66"/>
      <x:c r="C32" s="66"/>
      <x:c r="D32" s="66"/>
      <x:c r="E32" s="66"/>
      <x:c r="F32" s="66"/>
      <x:c r="G32" s="66"/>
      <x:c r="H32" s="66"/>
    </x:row>
    <x:row r="33" ht="22" customHeight="1">
      <x:c r="A33" s="66"/>
      <x:c r="B33" s="66"/>
      <x:c r="C33" s="66"/>
      <x:c r="D33" s="66"/>
      <x:c r="E33" s="66"/>
      <x:c r="F33" s="66"/>
      <x:c r="G33" s="66"/>
      <x:c r="H33" s="66"/>
    </x:row>
    <x:row r="34" ht="22" customHeight="1">
      <x:c r="A34" s="66"/>
      <x:c r="B34" s="66"/>
      <x:c r="C34" s="66"/>
      <x:c r="D34" s="66"/>
      <x:c r="E34" s="66"/>
      <x:c r="F34" s="66"/>
      <x:c r="G34" s="66"/>
      <x:c r="H34" s="66"/>
    </x:row>
    <x:row r="35" ht="22" customHeight="1">
      <x:c r="A35" s="26"/>
      <x:c r="B35" s="26"/>
      <x:c r="C35" s="26"/>
      <x:c r="D35" s="26"/>
      <x:c r="E35" s="26"/>
      <x:c r="F35" s="26"/>
      <x:c r="G35" s="26"/>
      <x:c r="H35" s="26"/>
    </x:row>
    <x:row r="36" ht="32" customHeight="1">
      <x:c r="A36" s="71" t="str">
        <x:v>STRUCTURAL CHECKS: 100 original species preserved, 304 unique signatures, 200 valid and distinct loadouts, 17 entity profiles. No gameplay simulation has been performed.</x:v>
      </x:c>
      <x:c r="B36" s="71"/>
      <x:c r="C36" s="71"/>
      <x:c r="D36" s="71"/>
      <x:c r="E36" s="71"/>
      <x:c r="F36" s="71"/>
      <x:c r="G36" s="71"/>
      <x:c r="H36" s="71"/>
    </x:row>
    <x:row r="37" ht="22" customHeight="1">
      <x:c r="A37" s="47"/>
      <x:c r="B37" s="47"/>
      <x:c r="C37" s="47"/>
      <x:c r="D37" s="47"/>
      <x:c r="E37" s="47"/>
      <x:c r="F37" s="47"/>
      <x:c r="G37" s="47"/>
      <x:c r="H37" s="47"/>
    </x:row>
    <x:row r="38" ht="22" customHeight="1">
      <x:c r="A38" s="26"/>
      <x:c r="B38" s="26"/>
      <x:c r="C38" s="26"/>
      <x:c r="D38" s="26"/>
      <x:c r="E38" s="26"/>
      <x:c r="F38" s="26"/>
      <x:c r="G38" s="26"/>
      <x:c r="H38" s="26"/>
    </x:row>
    <x:row r="39" ht="22" customHeight="1">
      <x:c r="A39" s="26"/>
      <x:c r="B39" s="26"/>
      <x:c r="C39" s="26"/>
      <x:c r="D39" s="26"/>
      <x:c r="E39" s="26"/>
      <x:c r="F39" s="26"/>
      <x:c r="G39" s="26"/>
      <x:c r="H39" s="26"/>
    </x:row>
    <x:row r="40" ht="22" customHeight="1">
      <x:c r="A40" s="26"/>
      <x:c r="B40" s="26"/>
      <x:c r="C40" s="26"/>
      <x:c r="D40" s="26"/>
      <x:c r="E40" s="26"/>
      <x:c r="F40" s="26"/>
      <x:c r="G40" s="26"/>
      <x:c r="H40" s="26"/>
    </x:row>
  </x:sheetData>
  <x:mergeCells>
    <x:mergeCell ref="A1:H2"/>
    <x:mergeCell ref="A3:H3"/>
    <x:mergeCell ref="A5:B5"/>
    <x:mergeCell ref="A6:B7"/>
    <x:mergeCell ref="C5:D5"/>
    <x:mergeCell ref="C6:D7"/>
    <x:mergeCell ref="E5:F5"/>
    <x:mergeCell ref="E6:F7"/>
    <x:mergeCell ref="G5:H5"/>
    <x:mergeCell ref="G6:H7"/>
    <x:mergeCell ref="A9:H9"/>
    <x:mergeCell ref="A11:H11"/>
    <x:mergeCell ref="A12:H14"/>
    <x:mergeCell ref="A16:H16"/>
    <x:mergeCell ref="A17:H19"/>
    <x:mergeCell ref="A21:H21"/>
    <x:mergeCell ref="A22:H24"/>
    <x:mergeCell ref="A26:H26"/>
    <x:mergeCell ref="A27:H29"/>
    <x:mergeCell ref="A31:H31"/>
    <x:mergeCell ref="A32:H34"/>
    <x:mergeCell ref="A36:H37"/>
  </x:mergeCells>
  <x:pageMargins left="0.7" right="0.7" top="0.75" bottom="0.75" header="0.3" footer="0.3"/>
</x:worksheet>
</file>

<file path=xl/worksheets/sheet2.xml><?xml version="1.0" encoding="utf-8"?>
<x:worksheet xmlns:x="http://schemas.openxmlformats.org/spreadsheetml/2006/main">
  <x:sheetFormatPr defaultRowHeight="15"/>
  <x:cols>
    <x:col min="1" max="1" width="5" hidden="0" customWidth="1"/>
    <x:col min="2" max="2" width="18" hidden="0" customWidth="1"/>
    <x:col min="3" max="3" width="20" hidden="0" customWidth="1"/>
    <x:col min="4" max="4" width="18" hidden="0" customWidth="1"/>
    <x:col min="5" max="5" width="32" hidden="0" customWidth="1"/>
    <x:col min="6" max="6" width="40" hidden="0" customWidth="1"/>
    <x:col min="7" max="7" width="24" hidden="0" customWidth="1"/>
    <x:col min="8" max="8" width="40" hidden="0" customWidth="1"/>
    <x:col min="9" max="9" width="12" hidden="0" customWidth="1"/>
    <x:col min="10" max="10" width="16" hidden="0" customWidth="1"/>
    <x:col min="11" max="11" width="40" hidden="0" customWidth="1"/>
    <x:col min="12" max="12" width="25" hidden="0" customWidth="1"/>
  </x:cols>
  <x:sheetData>
    <x:row r="1" ht="19" customHeight="1">
      <x:c r="A1" s="61" t="str">
        <x:v>HUNTARIA  |  SPECIES  ·  v2</x:v>
      </x:c>
      <x:c r="B1" s="61"/>
      <x:c r="C1" s="61"/>
      <x:c r="D1" s="61"/>
      <x:c r="E1" s="61"/>
      <x:c r="F1" s="61"/>
      <x:c r="G1" s="61"/>
      <x:c r="H1" s="61"/>
      <x:c r="I1" s="61"/>
      <x:c r="J1" s="61"/>
      <x:c r="K1" s="61"/>
      <x:c r="L1" s="63"/>
    </x:row>
    <x:row r="2" ht="19" customHeight="1">
      <x:c r="A2" s="61"/>
      <x:c r="B2" s="61"/>
      <x:c r="C2" s="61"/>
      <x:c r="D2" s="61"/>
      <x:c r="E2" s="61"/>
      <x:c r="F2" s="61"/>
      <x:c r="G2" s="61"/>
      <x:c r="H2" s="61"/>
      <x:c r="I2" s="61"/>
      <x:c r="J2" s="61"/>
      <x:c r="K2" s="61"/>
      <x:c r="L2" s="63"/>
    </x:row>
    <x:row r="3" ht="30" customHeight="1">
      <x:c r="A3" s="50" t="str">
        <x:v>100 source species; 14 arena reworks + 6 encounter refinements + 80 retained kits. Source roles and attack bases preserved.</x:v>
      </x:c>
      <x:c r="B3" s="50"/>
      <x:c r="C3" s="50"/>
      <x:c r="D3" s="50"/>
      <x:c r="E3" s="50"/>
      <x:c r="F3" s="50"/>
      <x:c r="G3" s="50"/>
      <x:c r="H3" s="50"/>
      <x:c r="I3" s="50"/>
      <x:c r="J3" s="50"/>
      <x:c r="K3" s="50"/>
      <x:c r="L3" s="53"/>
    </x:row>
    <x:row r="4" ht="9" customHeight="1">
      <x:c r="A4" s="4"/>
      <x:c r="B4" s="4"/>
      <x:c r="C4" s="4"/>
      <x:c r="D4" s="4"/>
      <x:c r="E4" s="4"/>
      <x:c r="F4" s="4"/>
      <x:c r="G4" s="4"/>
      <x:c r="H4" s="4"/>
      <x:c r="I4" s="4"/>
      <x:c r="J4" s="4"/>
      <x:c r="K4" s="4"/>
    </x:row>
    <x:row r="5" ht="32" customHeight="1">
      <x:c r="A5" s="56" t="str">
        <x:v>ID</x:v>
      </x:c>
      <x:c r="B5" s="56" t="str">
        <x:v>Species</x:v>
      </x:c>
      <x:c r="C5" s="56" t="str">
        <x:v>Role (source)</x:v>
      </x:c>
      <x:c r="D5" s="56" t="str">
        <x:v>Attack base (source)</x:v>
      </x:c>
      <x:c r="E5" s="56" t="str">
        <x:v>Basic attack delivery</x:v>
      </x:c>
      <x:c r="F5" s="56" t="str">
        <x:v>Combat identity</x:v>
      </x:c>
      <x:c r="G5" s="56" t="str">
        <x:v>Passive name</x:v>
      </x:c>
      <x:c r="H5" s="56" t="str">
        <x:v>Passive effect</x:v>
      </x:c>
      <x:c r="I5" s="56" t="str">
        <x:v>Split-stat branch?</x:v>
      </x:c>
      <x:c r="J5" s="56" t="str">
        <x:v>Implementation</x:v>
      </x:c>
      <x:c r="K5" s="56" t="str">
        <x:v>Counterplay / safeguards</x:v>
      </x:c>
      <x:c r="L5" s="56" t="str">
        <x:v>Final-pass status</x:v>
      </x:c>
    </x:row>
    <x:row r="6" ht="72.5" customHeight="1">
      <x:c r="A6" s="49" t="n">
        <x:v>1</x:v>
      </x:c>
      <x:c r="B6" s="50" t="str">
        <x:v>Tuskettle</x:v>
      </x:c>
      <x:c r="C6" s="51" t="str">
        <x:v>Tank</x:v>
      </x:c>
      <x:c r="D6" s="51" t="str">
        <x:v>Strength-based</x:v>
      </x:c>
      <x:c r="E6" s="50" t="str">
        <x:v>Melee physical</x:v>
      </x:c>
      <x:c r="F6" s="50" t="str">
        <x:v>Acorn-armored bodyguard: strongest before its shell is broken.</x:v>
      </x:c>
      <x:c r="G6" s="50" t="str">
        <x:v>Acorn Aegis</x:v>
      </x:c>
      <x:c r="H6" s="50" t="str">
        <x:v>At battle start, gain a shield equal to 10% H. While any self-shield remains, the trainer takes 10% less direct damage. This protection ends immediately when Tuskettle dies.</x:v>
      </x:c>
      <x:c r="I6" s="50" t="str">
        <x:v>No</x:v>
      </x:c>
      <x:c r="J6" s="50" t="str">
        <x:v>Simple</x:v>
      </x:c>
      <x:c r="K6" s="50" t="str">
        <x:v>Repeated small hits strip the shell; shield removal switches off the trainer aura. Taunt cannot pull unreachable attackers.</x:v>
      </x:c>
      <x:c r="L6" s="50" t="str">
        <x:v>Retained kit</x:v>
      </x:c>
    </x:row>
    <x:row r="7" ht="60" customHeight="1">
      <x:c r="A7" s="49" t="n">
        <x:v>2</x:v>
      </x:c>
      <x:c r="B7" s="50" t="str">
        <x:v>Wickeep</x:v>
      </x:c>
      <x:c r="C7" s="51" t="str">
        <x:v>DPS</x:v>
      </x:c>
      <x:c r="D7" s="51" t="str">
        <x:v>Dex-Based</x:v>
      </x:c>
      <x:c r="E7" s="50" t="str">
        <x:v>Ranged physical; DEX sets A</x:v>
      </x:c>
      <x:c r="F7" s="50" t="str">
        <x:v>Precise wax-dart damage that flares when its trainer is threatened.</x:v>
      </x:c>
      <x:c r="G7" s="50" t="str">
        <x:v>Keep the Flame</x:v>
      </x:c>
      <x:c r="H7" s="50" t="str">
        <x:v>While the living trainer is below 60% HP, Wickeep gains +15 HIT and deals 12% more physical damage. Bonuses stop immediately when the trainer recovers.</x:v>
      </x:c>
      <x:c r="I7" s="50" t="str">
        <x:v>No</x:v>
      </x:c>
      <x:c r="J7" s="50" t="str">
        <x:v>Simple</x:v>
      </x:c>
      <x:c r="K7" s="50" t="str">
        <x:v>The emergency bonus does not prevent a lethal hit. Large bursts and shielding enemies can defeat its late pressure.</x:v>
      </x:c>
      <x:c r="L7" s="50" t="str">
        <x:v>Retained kit</x:v>
      </x:c>
    </x:row>
    <x:row r="8" ht="85" customHeight="1">
      <x:c r="A8" s="49" t="n">
        <x:v>3</x:v>
      </x:c>
      <x:c r="B8" s="50" t="str">
        <x:v>Lunaskein</x:v>
      </x:c>
      <x:c r="C8" s="51" t="str">
        <x:v>DPS / Supp</x:v>
      </x:c>
      <x:c r="D8" s="51" t="str">
        <x:v>Int-Based</x:v>
      </x:c>
      <x:c r="E8" s="50" t="str">
        <x:v>Ranged magical</x:v>
      </x:c>
      <x:c r="F8" s="50" t="str">
        <x:v>A ribbon caster that alternates offensive weaving with support.</x:v>
      </x:c>
      <x:c r="G8" s="50" t="str">
        <x:v>Wax and Wane</x:v>
      </x:c>
      <x:c r="H8" s="50" t="str">
        <x:v>Casting a damaging signature empowers the next healing/shielding active by 20%; casting a support signature empowers the next damaging active by 15%. Store only one empowerment of each type; neither stacks.</x:v>
      </x:c>
      <x:c r="I8" s="50" t="str">
        <x:v>No</x:v>
      </x:c>
      <x:c r="J8" s="50" t="str">
        <x:v>Moderate</x:v>
      </x:c>
      <x:c r="K8" s="50" t="str">
        <x:v>Empowerments cannot stack or recursively empower one another. Healing denial and burst before Moon Hem can fire are effective.</x:v>
      </x:c>
      <x:c r="L8" s="50" t="str">
        <x:v>Retained kit</x:v>
      </x:c>
    </x:row>
    <x:row r="9" ht="72.5" customHeight="1">
      <x:c r="A9" s="49" t="n">
        <x:v>4</x:v>
      </x:c>
      <x:c r="B9" s="50" t="str">
        <x:v>Slagjaw</x:v>
      </x:c>
      <x:c r="C9" s="51" t="str">
        <x:v>Tank</x:v>
      </x:c>
      <x:c r="D9" s="51" t="str">
        <x:v>Strength-based</x:v>
      </x:c>
      <x:c r="E9" s="50" t="str">
        <x:v>Melee physical</x:v>
      </x:c>
      <x:c r="F9" s="50" t="str">
        <x:v>A stone-jawed tank that absorbs the first burst and crushes armor.</x:v>
      </x:c>
      <x:c r="G9" s="50" t="str">
        <x:v>Jaw Lock</x:v>
      </x:c>
      <x:c r="H9" s="50" t="str">
        <x:v>The first direct enemy hit received each battle deals 50% less damage. For 3s afterward Slagjaw gains 15% physical damage reduction; this is not refreshed by later hits.</x:v>
      </x:c>
      <x:c r="I9" s="50" t="str">
        <x:v>No</x:v>
      </x:c>
      <x:c r="J9" s="50" t="str">
        <x:v>Simple</x:v>
      </x:c>
      <x:c r="K9" s="50" t="str">
        <x:v>Weak opening attacks can consume Jaw Lock. It has little sustained healing, so extended damage can wear it down.</x:v>
      </x:c>
      <x:c r="L9" s="50" t="str">
        <x:v>Retained kit</x:v>
      </x:c>
    </x:row>
    <x:row r="10" ht="72.5" customHeight="1">
      <x:c r="A10" s="49" t="n">
        <x:v>5</x:v>
      </x:c>
      <x:c r="B10" s="50" t="str">
        <x:v>Bellowsnout</x:v>
      </x:c>
      <x:c r="C10" s="51" t="str">
        <x:v>Fighter</x:v>
      </x:c>
      <x:c r="D10" s="51" t="str">
        <x:v>Strength-based</x:v>
      </x:c>
      <x:c r="E10" s="50" t="str">
        <x:v>Melee physical</x:v>
      </x:c>
      <x:c r="F10" s="50" t="str">
        <x:v>An accordion-chested brawler with a short inhale/exhale rhythm.</x:v>
      </x:c>
      <x:c r="G10" s="50" t="str">
        <x:v>Bellows Cycle</x:v>
      </x:c>
      <x:c r="H10" s="50" t="str">
        <x:v>Every two landed basic attacks grant one Pressure, maximum 2. Casting a damaging active spends all Pressure for +0.30 A physical damage per stack, added once to that cast.</x:v>
      </x:c>
      <x:c r="I10" s="50" t="str">
        <x:v>No</x:v>
      </x:c>
      <x:c r="J10" s="50" t="str">
        <x:v>Moderate</x:v>
      </x:c>
      <x:c r="K10" s="50" t="str">
        <x:v>Missed basic attacks do not generate Pressure. Control can disrupt generation; Pressure damage cannot trigger Pressure again.</x:v>
      </x:c>
      <x:c r="L10" s="50" t="str">
        <x:v>Retained kit</x:v>
      </x:c>
    </x:row>
    <x:row r="11" ht="60" customHeight="1">
      <x:c r="A11" s="49" t="n">
        <x:v>6</x:v>
      </x:c>
      <x:c r="B11" s="50" t="str">
        <x:v>Dreamtapir</x:v>
      </x:c>
      <x:c r="C11" s="51" t="str">
        <x:v>DPS / Supp</x:v>
      </x:c>
      <x:c r="D11" s="51" t="str">
        <x:v>Int-Based</x:v>
      </x:c>
      <x:c r="E11" s="50" t="str">
        <x:v>Ranged magical</x:v>
      </x:c>
      <x:c r="F11" s="50" t="str">
        <x:v>A dream eater that weakens imminent skills rather than relying on long sleep.</x:v>
      </x:c>
      <x:c r="G11" s="50" t="str">
        <x:v>Dream Sipper</x:v>
      </x:c>
      <x:c r="H11" s="50" t="str">
        <x:v>When a Drowsy effect applied by Dreamtapir is consumed by an enemy active, heal the lowest-HP% ally for 0.35 M. At most once every 2s.</x:v>
      </x:c>
      <x:c r="I11" s="50" t="str">
        <x:v>No</x:v>
      </x:c>
      <x:c r="J11" s="50" t="str">
        <x:v>Simple</x:v>
      </x:c>
      <x:c r="K11" s="50" t="str">
        <x:v>Basic-attack teams consume little Drowsy value. Drowsy reduces damage, not healing, and cannot stack on one enemy.</x:v>
      </x:c>
      <x:c r="L11" s="50" t="str">
        <x:v>Retained kit</x:v>
      </x:c>
    </x:row>
    <x:row r="12" ht="85" customHeight="1">
      <x:c r="A12" s="49" t="n">
        <x:v>7</x:v>
      </x:c>
      <x:c r="B12" s="50" t="str">
        <x:v>Inkmarten</x:v>
      </x:c>
      <x:c r="C12" s="51" t="str">
        <x:v>DPS</x:v>
      </x:c>
      <x:c r="D12" s="51" t="str">
        <x:v>Dex-Based</x:v>
      </x:c>
      <x:c r="E12" s="50" t="str">
        <x:v>Melee physical; DEX sets A</x:v>
      </x:c>
      <x:c r="F12" s="50" t="str">
        <x:v>A brush-tailed executioner whose new-target bonus also works at battle start.</x:v>
      </x:c>
      <x:c r="G12" s="50" t="str">
        <x:v>Fresh Page</x:v>
      </x:c>
      <x:c r="H12" s="50" t="str">
        <x:v>The first landed direct hit on each newly acquired normal target has +25 HIT and +0.50 A physical damage. Triggers on the initial target and on a switch caused by a death, never by taunt or temporary skill targeting.</x:v>
      </x:c>
      <x:c r="I12" s="50" t="str">
        <x:v>No</x:v>
      </x:c>
      <x:c r="J12" s="50" t="str">
        <x:v>Simple</x:v>
      </x:c>
      <x:c r="K12" s="50" t="str">
        <x:v>Magic and unavoidable skills bypass its evasion plan. Do not let taunt juggling repeatedly trigger Fresh Page.</x:v>
      </x:c>
      <x:c r="L12" s="50" t="str">
        <x:v>Retained kit</x:v>
      </x:c>
    </x:row>
    <x:row r="13" ht="72.5" customHeight="1">
      <x:c r="A13" s="49" t="n">
        <x:v>8</x:v>
      </x:c>
      <x:c r="B13" s="50" t="str">
        <x:v>Brimble</x:v>
      </x:c>
      <x:c r="C13" s="51" t="str">
        <x:v>Fighter</x:v>
      </x:c>
      <x:c r="D13" s="51" t="str">
        <x:v>Strength-based</x:v>
      </x:c>
      <x:c r="E13" s="50" t="str">
        <x:v>Melee physical</x:v>
      </x:c>
      <x:c r="F13" s="50" t="str">
        <x:v>A small fiend that wraps itself defensively, then lashes out.</x:v>
      </x:c>
      <x:c r="G13" s="50" t="str">
        <x:v>Tailblanket</x:v>
      </x:c>
      <x:c r="H13" s="50" t="str">
        <x:v>While above 70% HP, gain 10% damage reduction. After first falling below 70%, gain +15% physical damage for 3s; this offensive trigger occurs once per battle.</x:v>
      </x:c>
      <x:c r="I13" s="50" t="str">
        <x:v>No</x:v>
      </x:c>
      <x:c r="J13" s="50" t="str">
        <x:v>Simple</x:v>
      </x:c>
      <x:c r="K13" s="50" t="str">
        <x:v>Healing above the threshold restores only the defensive portion. Sustained magic is useful when its physical retaliation is predictable.</x:v>
      </x:c>
      <x:c r="L13" s="50" t="str">
        <x:v>Retained kit</x:v>
      </x:c>
    </x:row>
    <x:row r="14" ht="72.5" customHeight="1">
      <x:c r="A14" s="49" t="n">
        <x:v>9</x:v>
      </x:c>
      <x:c r="B14" s="50" t="str">
        <x:v>Cinderknuckle</x:v>
      </x:c>
      <x:c r="C14" s="51" t="str">
        <x:v>Fighter</x:v>
      </x:c>
      <x:c r="D14" s="51" t="str">
        <x:v>Int-Based</x:v>
      </x:c>
      <x:c r="E14" s="50" t="str">
        <x:v>Melee magical; basics use M</x:v>
      </x:c>
      <x:c r="F14" s="50" t="str">
        <x:v>An INT-powered contact fighter that stores spell heat in its fists.</x:v>
      </x:c>
      <x:c r="G14" s="50" t="str">
        <x:v>Banked Heat</x:v>
      </x:c>
      <x:c r="H14" s="50" t="str">
        <x:v>Each damaging active grants one Heat after resolving, maximum 3. Basic attacks consume one Heat to deal +0.35 M magic damage and grant a 0.20 M self-shield for 2s.</x:v>
      </x:c>
      <x:c r="I14" s="50" t="str">
        <x:v>No</x:v>
      </x:c>
      <x:c r="J14" s="50" t="str">
        <x:v>Moderate</x:v>
      </x:c>
      <x:c r="K14" s="50" t="str">
        <x:v>Long-range enemies can delay its basic Heat spending. Shield stripping and magic resistance reduce both offense and staying power.</x:v>
      </x:c>
      <x:c r="L14" s="50" t="str">
        <x:v>Retained kit</x:v>
      </x:c>
    </x:row>
    <x:row r="15" ht="85" customHeight="1">
      <x:c r="A15" s="49" t="n">
        <x:v>10</x:v>
      </x:c>
      <x:c r="B15" s="50" t="str">
        <x:v>Fluffyak</x:v>
      </x:c>
      <x:c r="C15" s="51" t="str">
        <x:v>Tank / Supp</x:v>
      </x:c>
      <x:c r="D15" s="51" t="str">
        <x:v>Strength-based</x:v>
      </x:c>
      <x:c r="E15" s="50" t="str">
        <x:v>Melee physical</x:v>
      </x:c>
      <x:c r="F15" s="50" t="str">
        <x:v>A wool-armored tank with an optional genuine MATK healing branch.</x:v>
      </x:c>
      <x:c r="G15" s="50" t="str">
        <x:v>Deep Fleece</x:v>
      </x:c>
      <x:c r="H15" s="50" t="str">
        <x:v>The first basic attack received from each enemy deals 40% less damage. Each such reduction creates one Fleece, maximum 2; the next ally-directed heal or shield from Fluffyak spends one Fleece for +25% amount.</x:v>
      </x:c>
      <x:c r="I15" s="50" t="str">
        <x:v>Yes</x:v>
      </x:c>
      <x:c r="J15" s="50" t="str">
        <x:v>Simple</x:v>
      </x:c>
      <x:c r="K15" s="50" t="str">
        <x:v>Repeated attacks exhaust the one-time fleece protection. Anti-heal pressures the caretaker build; magic bypasses the initial basic-only reduction.</x:v>
      </x:c>
      <x:c r="L15" s="50" t="str">
        <x:v>Retained kit</x:v>
      </x:c>
    </x:row>
    <x:row r="16" ht="85" customHeight="1">
      <x:c r="A16" s="49" t="n">
        <x:v>11</x:v>
      </x:c>
      <x:c r="B16" s="50" t="str">
        <x:v>Shardclaw</x:v>
      </x:c>
      <x:c r="C16" s="51" t="str">
        <x:v>DPS</x:v>
      </x:c>
      <x:c r="D16" s="51" t="str">
        <x:v>Dex-Based</x:v>
      </x:c>
      <x:c r="E16" s="50" t="str">
        <x:v>Melee physical; DEX sets A</x:v>
      </x:c>
      <x:c r="F16" s="50" t="str">
        <x:v>A precision cat that breaks shields and exploits the opening.</x:v>
      </x:c>
      <x:c r="G16" s="50" t="str">
        <x:v>Fault Finder</x:v>
      </x:c>
      <x:c r="H16" s="50" t="str">
        <x:v>Direct physical hits deal 25% more damage to shields only. When Shardclaw breaks an enemy shield, its next direct hit within 3s ignores 8 percentage points of physical mitigation; at most once per 3s.</x:v>
      </x:c>
      <x:c r="I16" s="50" t="str">
        <x:v>No</x:v>
      </x:c>
      <x:c r="J16" s="50" t="str">
        <x:v>Simple</x:v>
      </x:c>
      <x:c r="K16" s="50" t="str">
        <x:v>Unshielded, high-HP opponents deny much of its specialty. Shield bonus damage does not spill into extra HP damage.</x:v>
      </x:c>
      <x:c r="L16" s="50" t="str">
        <x:v>Retained kit</x:v>
      </x:c>
    </x:row>
    <x:row r="17" ht="85" customHeight="1">
      <x:c r="A17" s="49" t="n">
        <x:v>12</x:v>
      </x:c>
      <x:c r="B17" s="50" t="str">
        <x:v>Hornvault</x:v>
      </x:c>
      <x:c r="C17" s="51" t="str">
        <x:v>Fighter</x:v>
      </x:c>
      <x:c r="D17" s="51" t="str">
        <x:v>Int-Based</x:v>
      </x:c>
      <x:c r="E17" s="50" t="str">
        <x:v>Melee magical; basics use M</x:v>
      </x:c>
      <x:c r="F17" s="50" t="str">
        <x:v>A bone-ring spell fighter with limited, visible ablative ribs.</x:v>
      </x:c>
      <x:c r="G17" s="50" t="str">
        <x:v>Rib Reserve</x:v>
      </x:c>
      <x:c r="H17" s="50" t="str">
        <x:v>Start with 3 Ribs. A direct hit consumes one Rib to reduce that hit by 20% and deal 0.30 M magic damage back to its attacker. Retaliation cannot trigger retaliation; internal cooldown 0.5s.</x:v>
      </x:c>
      <x:c r="I17" s="50" t="str">
        <x:v>No</x:v>
      </x:c>
      <x:c r="J17" s="50" t="str">
        <x:v>Moderate</x:v>
      </x:c>
      <x:c r="K17" s="50" t="str">
        <x:v>Fast, weak hits can consume Ribs before the major burst. The counter damage never chains into other counters.</x:v>
      </x:c>
      <x:c r="L17" s="50" t="str">
        <x:v>Retained kit</x:v>
      </x:c>
    </x:row>
    <x:row r="18" ht="60" customHeight="1">
      <x:c r="A18" s="49" t="n">
        <x:v>13</x:v>
      </x:c>
      <x:c r="B18" s="50" t="str">
        <x:v>Lilydeer</x:v>
      </x:c>
      <x:c r="C18" s="51" t="str">
        <x:v>DPS / Supp</x:v>
      </x:c>
      <x:c r="D18" s="51" t="str">
        <x:v>Int-Based</x:v>
      </x:c>
      <x:c r="E18" s="50" t="str">
        <x:v>Ranged magical</x:v>
      </x:c>
      <x:c r="F18" s="50" t="str">
        <x:v>A bud-bearing caster whose offensive hits grow targeted healing.</x:v>
      </x:c>
      <x:c r="G18" s="50" t="str">
        <x:v>Antler Buds</x:v>
      </x:c>
      <x:c r="H18" s="50" t="str">
        <x:v>Each damaging active that lands grows one Bud, maximum 3. Healing an ally consumes all Buds for an additional 0.25 M healing per Bud, once per cast.</x:v>
      </x:c>
      <x:c r="I18" s="50" t="str">
        <x:v>No</x:v>
      </x:c>
      <x:c r="J18" s="50" t="str">
        <x:v>Moderate</x:v>
      </x:c>
      <x:c r="K18" s="50" t="str">
        <x:v>Buds are caster-specific, capped, and expire at battle end. Healing denial can waste the bank; burst may arrive before buds form.</x:v>
      </x:c>
      <x:c r="L18" s="50" t="str">
        <x:v>Retained kit</x:v>
      </x:c>
    </x:row>
    <x:row r="19" ht="85" customHeight="1">
      <x:c r="A19" s="49" t="n">
        <x:v>14</x:v>
      </x:c>
      <x:c r="B19" s="50" t="str">
        <x:v>Pillowisp</x:v>
      </x:c>
      <x:c r="C19" s="51" t="str">
        <x:v>Supp</x:v>
      </x:c>
      <x:c r="D19" s="51" t="str">
        <x:v>Int-Based</x:v>
      </x:c>
      <x:c r="E19" s="50" t="str">
        <x:v>Ranged magical</x:v>
      </x:c>
      <x:c r="F19" s="50" t="str">
        <x:v>A soft support that pads the next impact rather than repeatedly hard-controlling enemies.</x:v>
      </x:c>
      <x:c r="G19" s="50" t="str">
        <x:v>Soft Landing</x:v>
      </x:c>
      <x:c r="H19" s="50" t="str">
        <x:v>Whenever Pillowisp directly heals an ally, give that ally Padding for 2s: its next direct hit received deals 12% less damage. Padding does not stack and can be applied to an ally at most once every 2s.</x:v>
      </x:c>
      <x:c r="I19" s="50" t="str">
        <x:v>No</x:v>
      </x:c>
      <x:c r="J19" s="50" t="str">
        <x:v>Simple</x:v>
      </x:c>
      <x:c r="K19" s="50" t="str">
        <x:v>Multiple small hits quickly consume Padding. DoTs are not padded, and padding does not accumulate from overhealing.</x:v>
      </x:c>
      <x:c r="L19" s="50" t="str">
        <x:v>Retained kit</x:v>
      </x:c>
    </x:row>
    <x:row r="20" ht="85" customHeight="1">
      <x:c r="A20" s="49" t="n">
        <x:v>15</x:v>
      </x:c>
      <x:c r="B20" s="50" t="str">
        <x:v>Burrowlug</x:v>
      </x:c>
      <x:c r="C20" s="51" t="str">
        <x:v>Tank</x:v>
      </x:c>
      <x:c r="D20" s="51" t="str">
        <x:v>Strength-based</x:v>
      </x:c>
      <x:c r="E20" s="50" t="str">
        <x:v>Melee physical</x:v>
      </x:c>
      <x:c r="F20" s="50" t="str">
        <x:v>An anchored root tank that benefits from staying on its assigned target.</x:v>
      </x:c>
      <x:c r="G20" s="50" t="str">
        <x:v>Set Roots</x:v>
      </x:c>
      <x:c r="H20" s="50" t="str">
        <x:v>After attacking the same normal target for 2s, gain 12% damage reduction. Remains active while that target lives; resets on a death-based normal target switch, not on a temporary skill target.</x:v>
      </x:c>
      <x:c r="I20" s="50" t="str">
        <x:v>No</x:v>
      </x:c>
      <x:c r="J20" s="50" t="str">
        <x:v>Simple</x:v>
      </x:c>
      <x:c r="K20" s="50" t="str">
        <x:v>The initial two seconds are its vulnerable window. Frequent genuine target deaths reset anchoring; taunt must not be able to farm or repeatedly erase it.</x:v>
      </x:c>
      <x:c r="L20" s="50" t="str">
        <x:v>Retained kit</x:v>
      </x:c>
    </x:row>
    <x:row r="21" ht="72.5" customHeight="1">
      <x:c r="A21" s="49" t="n">
        <x:v>16</x:v>
      </x:c>
      <x:c r="B21" s="50" t="str">
        <x:v>Cairnox</x:v>
      </x:c>
      <x:c r="C21" s="51" t="str">
        <x:v>Fighter / Tank</x:v>
      </x:c>
      <x:c r="D21" s="51" t="str">
        <x:v>Strength-based</x:v>
      </x:c>
      <x:c r="E21" s="50" t="str">
        <x:v>Melee physical</x:v>
      </x:c>
      <x:c r="F21" s="50" t="str">
        <x:v>A lopsided bone bruiser with one huge attack arm and recoverable fragments.</x:v>
      </x:c>
      <x:c r="G21" s="50" t="str">
        <x:v>Loose Assembly</x:v>
      </x:c>
      <x:c r="H21" s="50" t="str">
        <x:v>After losing a cumulative 12% H to enemy HP damage, gain one Fragment, maximum 2. One damage event can grant at most one Fragment; shields and self-costs do not count.</x:v>
      </x:c>
      <x:c r="I21" s="50" t="str">
        <x:v>No</x:v>
      </x:c>
      <x:c r="J21" s="50" t="str">
        <x:v>Moderate</x:v>
      </x:c>
      <x:c r="K21" s="50" t="str">
        <x:v>Its two builds compete for the same fragments. Lethal burst can occur before repairs; healing denial directly counters the defensive route.</x:v>
      </x:c>
      <x:c r="L21" s="50" t="str">
        <x:v>Retained kit</x:v>
      </x:c>
    </x:row>
    <x:row r="22" ht="72.5" customHeight="1">
      <x:c r="A22" s="49" t="n">
        <x:v>17</x:v>
      </x:c>
      <x:c r="B22" s="50" t="str">
        <x:v>Pebblepup</x:v>
      </x:c>
      <x:c r="C22" s="51" t="str">
        <x:v>Fighter</x:v>
      </x:c>
      <x:c r="D22" s="51" t="str">
        <x:v>Strength-based</x:v>
      </x:c>
      <x:c r="E22" s="50" t="str">
        <x:v>Melee physical</x:v>
      </x:c>
      <x:c r="F22" s="50" t="str">
        <x:v>A protective puppy that follows its trainer's focus rather than controlling position.</x:v>
      </x:c>
      <x:c r="G22" s="50" t="str">
        <x:v>Stay Close</x:v>
      </x:c>
      <x:c r="H22" s="50" t="str">
        <x:v>While Pebblepup and the trainer share a normal attack target, Pebblepup gains 10% damage reduction and +15 HIT. Check live target identity; no movement bonus.</x:v>
      </x:c>
      <x:c r="I22" s="50" t="str">
        <x:v>No</x:v>
      </x:c>
      <x:c r="J22" s="50" t="str">
        <x:v>Simple</x:v>
      </x:c>
      <x:c r="K22" s="50" t="str">
        <x:v>Different target choices remove its passive. Stone Fetch cannot bypass the occupied frontline or force movement to an illegal target.</x:v>
      </x:c>
      <x:c r="L22" s="50" t="str">
        <x:v>Retained kit</x:v>
      </x:c>
    </x:row>
    <x:row r="23" ht="135" customHeight="1">
      <x:c r="A23" s="49" t="n">
        <x:v>18</x:v>
      </x:c>
      <x:c r="B23" s="50" t="str">
        <x:v>Pyreling</x:v>
      </x:c>
      <x:c r="C23" s="51" t="str">
        <x:v>DPS</x:v>
      </x:c>
      <x:c r="D23" s="51" t="str">
        <x:v>Strength-based</x:v>
      </x:c>
      <x:c r="E23" s="50" t="str">
        <x:v>Melee physical</x:v>
      </x:c>
      <x:c r="F23" s="50" t="str">
        <x:v>A mane-flared physical finisher with a brief, bounded kill reward.</x:v>
      </x:c>
      <x:c r="G23" s="50" t="str">
        <x:v>Fed by Embers</x:v>
      </x:c>
      <x:c r="H23" s="50" t="str">
        <x:v>Once per battle, when the team first defeats an eligible encounter enemy OR Pyreling's current encounter enemy is observed at 50% HP or lower, gain +15% physical damage and a 6% H self-shield for 3s. Trigger only while Pyreling and the trainer live; the two conditions share one activation. Temporary summons and structures cannot satisfy either condition.</x:v>
      </x:c>
      <x:c r="I23" s="50" t="str">
        <x:v>No</x:v>
      </x:c>
      <x:c r="J23" s="50" t="str">
        <x:v>Simple</x:v>
      </x:c>
      <x:c r="K23" s="50" t="str">
        <x:v>Burn cleansing weakens the finisher. The flare happens only once; a dead trainer cannot be rescued by an enemy crossing a threshold or dying in the same terminal resolution.</x:v>
      </x:c>
      <x:c r="L23" s="50" t="str">
        <x:v>Boss / group refinement</x:v>
      </x:c>
    </x:row>
    <x:row r="24" ht="72.5" customHeight="1">
      <x:c r="A24" s="49" t="n">
        <x:v>19</x:v>
      </x:c>
      <x:c r="B24" s="50" t="str">
        <x:v>Pluvault</x:v>
      </x:c>
      <x:c r="C24" s="51" t="str">
        <x:v>Tank / Supp</x:v>
      </x:c>
      <x:c r="D24" s="51" t="str">
        <x:v>Int-Based</x:v>
      </x:c>
      <x:c r="E24" s="50" t="str">
        <x:v>Ranged magical; short water bolts</x:v>
      </x:c>
      <x:c r="F24" s="50" t="str">
        <x:v>A walking cistern that banks a capped fraction of damage for healing.</x:v>
      </x:c>
      <x:c r="G24" s="50" t="str">
        <x:v>Rain Reserve</x:v>
      </x:c>
      <x:c r="H24" s="50" t="str">
        <x:v>Store 20% of actual enemy HP damage taken as Water, capped at 10% H. Water is a resource, not extra damage reduction; redirected damage cannot fill it.</x:v>
      </x:c>
      <x:c r="I24" s="50" t="str">
        <x:v>No</x:v>
      </x:c>
      <x:c r="J24" s="50" t="str">
        <x:v>Moderate</x:v>
      </x:c>
      <x:c r="K24" s="50" t="str">
        <x:v>Burst can kill it before the bank is spent. Water is neither reflected damage nor an unlimited healing loop.</x:v>
      </x:c>
      <x:c r="L24" s="50" t="str">
        <x:v>Retained kit</x:v>
      </x:c>
    </x:row>
    <x:row r="25" ht="72.5" customHeight="1">
      <x:c r="A25" s="49" t="n">
        <x:v>20</x:v>
      </x:c>
      <x:c r="B25" s="50" t="str">
        <x:v>Rillblade</x:v>
      </x:c>
      <x:c r="C25" s="51" t="str">
        <x:v>DPS</x:v>
      </x:c>
      <x:c r="D25" s="51" t="str">
        <x:v>Dex-Based</x:v>
      </x:c>
      <x:c r="E25" s="50" t="str">
        <x:v>Melee physical; DEX sets A</x:v>
      </x:c>
      <x:c r="F25" s="50" t="str">
        <x:v>A precise fin-blade duelist whose consecutive basics sharpen one clean cut.</x:v>
      </x:c>
      <x:c r="G25" s="50" t="str">
        <x:v>Clean Current</x:v>
      </x:c>
      <x:c r="H25" s="50" t="str">
        <x:v>Three consecutive landed basic attacks grant Precision for 3s: the next damaging active gains +0.60 A physical damage. A miss resets the basic count; only one Precision can be stored.</x:v>
      </x:c>
      <x:c r="I25" s="50" t="str">
        <x:v>No</x:v>
      </x:c>
      <x:c r="J25" s="50" t="str">
        <x:v>Simple</x:v>
      </x:c>
      <x:c r="K25" s="50" t="str">
        <x:v>Blind and evasion disrupt the sequence. Temporary target changes reset neither the counter nor grant a free Precision.</x:v>
      </x:c>
      <x:c r="L25" s="50" t="str">
        <x:v>Retained kit</x:v>
      </x:c>
    </x:row>
    <x:row r="26" ht="60" customHeight="1">
      <x:c r="A26" s="49" t="n">
        <x:v>21</x:v>
      </x:c>
      <x:c r="B26" s="50" t="str">
        <x:v>Seedskit</x:v>
      </x:c>
      <x:c r="C26" s="51" t="str">
        <x:v>DPS</x:v>
      </x:c>
      <x:c r="D26" s="51" t="str">
        <x:v>Strength-based</x:v>
      </x:c>
      <x:c r="E26" s="50" t="str">
        <x:v>Ranged physical; seed shots use A</x:v>
      </x:c>
      <x:c r="F26" s="50" t="str">
        <x:v>A seedpod burst attacker that can spend its seed reserve on offense or protection.</x:v>
      </x:c>
      <x:c r="G26" s="50" t="str">
        <x:v>Packed Pod</x:v>
      </x:c>
      <x:c r="H26" s="50" t="str">
        <x:v>Start with 3 Seeds, maximum 3. A basic attack spends one Seed for +0.25 A physical damage; one Seed can be spent per attack cycle.</x:v>
      </x:c>
      <x:c r="I26" s="50" t="str">
        <x:v>No</x:v>
      </x:c>
      <x:c r="J26" s="50" t="str">
        <x:v>Moderate</x:v>
      </x:c>
      <x:c r="K26" s="50" t="str">
        <x:v>Salvo and basics compete for Seeds. Disables can strand a full reserve; armor reduces all its principal damage.</x:v>
      </x:c>
      <x:c r="L26" s="50" t="str">
        <x:v>Retained kit</x:v>
      </x:c>
    </x:row>
    <x:row r="27" ht="72.5" customHeight="1">
      <x:c r="A27" s="49" t="n">
        <x:v>22</x:v>
      </x:c>
      <x:c r="B27" s="50" t="str">
        <x:v>Rattlebit</x:v>
      </x:c>
      <x:c r="C27" s="51" t="str">
        <x:v>Fighter</x:v>
      </x:c>
      <x:c r="D27" s="51" t="str">
        <x:v>Strength-based</x:v>
      </x:c>
      <x:c r="E27" s="50" t="str">
        <x:v>Melee physical</x:v>
      </x:c>
      <x:c r="F27" s="50" t="str">
        <x:v>A tiny skeleton whose repairs prime its next counterattack.</x:v>
      </x:c>
      <x:c r="G27" s="50" t="str">
        <x:v>Good as New</x:v>
      </x:c>
      <x:c r="H27" s="50" t="str">
        <x:v>Receiving effective healing equal to at least 3% H within 2s primes the next landed basic attack for +0.45 A physical damage. One charge maximum; at most one activation every 3s.</x:v>
      </x:c>
      <x:c r="I27" s="50" t="str">
        <x:v>No</x:v>
      </x:c>
      <x:c r="J27" s="50" t="str">
        <x:v>Simple</x:v>
      </x:c>
      <x:c r="K27" s="50" t="str">
        <x:v>Overhealing does not prime the passive. Healing prevention removes both sustain and some damage; tiny repeated heals cannot bypass the activation limit.</x:v>
      </x:c>
      <x:c r="L27" s="50" t="str">
        <x:v>Retained kit</x:v>
      </x:c>
    </x:row>
    <x:row r="28" ht="97.5" customHeight="1">
      <x:c r="A28" s="49" t="n">
        <x:v>23</x:v>
      </x:c>
      <x:c r="B28" s="50" t="str">
        <x:v>Squallcub</x:v>
      </x:c>
      <x:c r="C28" s="51" t="str">
        <x:v>Fighter</x:v>
      </x:c>
      <x:c r="D28" s="51" t="str">
        <x:v>Strength-based</x:v>
      </x:c>
      <x:c r="E28" s="50" t="str">
        <x:v>Melee physical</x:v>
      </x:c>
      <x:c r="F28" s="50" t="str">
        <x:v>A storm-pawed bruiser that stores the force of an incoming heavy blow.</x:v>
      </x:c>
      <x:c r="G28" s="50" t="str">
        <x:v>Storm Shoulders</x:v>
      </x:c>
      <x:c r="H28" s="50" t="str">
        <x:v>After a single enemy hit removes at least 6% H, gain one Gust for 3s. The next damaging active spends it for +0.60 A physical damage. One Gust maximum; 3s trigger cooldown.</x:v>
      </x:c>
      <x:c r="I28" s="50" t="str">
        <x:v>No</x:v>
      </x:c>
      <x:c r="J28" s="50" t="str">
        <x:v>Simple</x:v>
      </x:c>
      <x:c r="K28" s="50" t="str">
        <x:v>Many small hits do not naturally generate Gust. Shield-absorbed damage does not count as lost HP. Splash uses actual radius and target caps rather than assuming only two enemy monsters; a boss is always one target regardless of hitboxes.</x:v>
      </x:c>
      <x:c r="L28" s="50" t="str">
        <x:v>Boss / group refinement</x:v>
      </x:c>
    </x:row>
    <x:row r="29" ht="110" customHeight="1">
      <x:c r="A29" s="49" t="n">
        <x:v>24</x:v>
      </x:c>
      <x:c r="B29" s="50" t="str">
        <x:v>Pinstitch</x:v>
      </x:c>
      <x:c r="C29" s="51" t="str">
        <x:v>DPS</x:v>
      </x:c>
      <x:c r="D29" s="51" t="str">
        <x:v>Dex-Based</x:v>
      </x:c>
      <x:c r="E29" s="50" t="str">
        <x:v>Ranged physical; DEX sets A</x:v>
      </x:c>
      <x:c r="F29" s="50" t="str">
        <x:v>A DEX tailor choosing between immediate seam-ripping burst and a vulnerable focus-fire effigy.</x:v>
      </x:c>
      <x:c r="G29" s="50" t="str">
        <x:v>Loose Thread</x:v>
      </x:c>
      <x:c r="H29" s="50" t="str">
        <x:v>The first time each core ally lands a direct hit on Pinstitch's current stitched target, deal an additional 0.20 A physical damage. Maximum 3 activations per Stitch. Summons, structures, reflected hits, and passive damage cannot activate threads.</x:v>
      </x:c>
      <x:c r="I29" s="50" t="str">
        <x:v>No</x:v>
      </x:c>
      <x:c r="J29" s="50" t="str">
        <x:v>Advanced</x:v>
      </x:c>
      <x:c r="K29" s="50" t="str">
        <x:v>Effigy damage has a fixed coefficient and trigger budget, not a fraction of all damage dealt to a boss. Destroying the object or breaking the target removes future value; it never redirects allies' attacks into the doll.</x:v>
      </x:c>
      <x:c r="L29" s="50" t="str">
        <x:v>Summon / arena rework</x:v>
      </x:c>
    </x:row>
    <x:row r="30" ht="72.5" customHeight="1">
      <x:c r="A30" s="49" t="n">
        <x:v>25</x:v>
      </x:c>
      <x:c r="B30" s="50" t="str">
        <x:v>Thornmaw</x:v>
      </x:c>
      <x:c r="C30" s="51" t="str">
        <x:v>Fighter / Tank</x:v>
      </x:c>
      <x:c r="D30" s="51" t="str">
        <x:v>Strength-based</x:v>
      </x:c>
      <x:c r="E30" s="50" t="str">
        <x:v>Melee physical</x:v>
      </x:c>
      <x:c r="F30" s="50" t="str">
        <x:v>A thorn-jawed frontline that punishes basic attacks and denies healing.</x:v>
      </x:c>
      <x:c r="G30" s="50" t="str">
        <x:v>Biting Thorns</x:v>
      </x:c>
      <x:c r="H30" s="50" t="str">
        <x:v>When hit by a basic attack, retaliate for 0.25 A physical damage plus 1% H, capped at 0.65 A total. Shared 0.75s cooldown; counter damage cannot trigger counters.</x:v>
      </x:c>
      <x:c r="I30" s="50" t="str">
        <x:v>No</x:v>
      </x:c>
      <x:c r="J30" s="50" t="str">
        <x:v>Simple</x:v>
      </x:c>
      <x:c r="K30" s="50" t="str">
        <x:v>Spell-heavy enemies largely bypass its retaliation. Multiple weak hits cannot trigger counters faster than the shared cooldown.</x:v>
      </x:c>
      <x:c r="L30" s="50" t="str">
        <x:v>Retained kit</x:v>
      </x:c>
    </x:row>
    <x:row r="31" ht="72.5" customHeight="1">
      <x:c r="A31" s="49" t="n">
        <x:v>26</x:v>
      </x:c>
      <x:c r="B31" s="50" t="str">
        <x:v>Amberkite</x:v>
      </x:c>
      <x:c r="C31" s="51" t="str">
        <x:v>DPS</x:v>
      </x:c>
      <x:c r="D31" s="51" t="str">
        <x:v>Int-Based</x:v>
      </x:c>
      <x:c r="E31" s="50" t="str">
        <x:v>Ranged magical</x:v>
      </x:c>
      <x:c r="F31" s="50" t="str">
        <x:v>A folded-paper artillery caster whose delayed spells survive a target transition.</x:v>
      </x:c>
      <x:c r="G31" s="50" t="str">
        <x:v>Carry the Forecast</x:v>
      </x:c>
      <x:c r="H31" s="50" t="str">
        <x:v>If the target of an unresolved delayed signature dies, that effect transfers once to Amberkite's new normal legal target at 50% damage. No extra cast, reset, or protected-trainer bypass.</x:v>
      </x:c>
      <x:c r="I31" s="50" t="str">
        <x:v>No</x:v>
      </x:c>
      <x:c r="J31" s="50" t="str">
        <x:v>Advanced</x:v>
      </x:c>
      <x:c r="K31" s="50" t="str">
        <x:v>Delayed damage still allows an enemy to act before impact. Effects fizzle if no legal target remains; battle-end resolution takes precedence.</x:v>
      </x:c>
      <x:c r="L31" s="50" t="str">
        <x:v>Retained kit</x:v>
      </x:c>
    </x:row>
    <x:row r="32" ht="60" customHeight="1">
      <x:c r="A32" s="49" t="n">
        <x:v>27</x:v>
      </x:c>
      <x:c r="B32" s="50" t="str">
        <x:v>Cragbeak</x:v>
      </x:c>
      <x:c r="C32" s="51" t="str">
        <x:v>Fighter</x:v>
      </x:c>
      <x:c r="D32" s="51" t="str">
        <x:v>Dex-Based</x:v>
      </x:c>
      <x:c r="E32" s="50" t="str">
        <x:v>Melee physical; DEX sets A</x:v>
      </x:c>
      <x:c r="F32" s="50" t="str">
        <x:v>An accurate plated bird that turns incoming contact into steadier aim.</x:v>
      </x:c>
      <x:c r="G32" s="50" t="str">
        <x:v>Wing-Braced Aim</x:v>
      </x:c>
      <x:c r="H32" s="50" t="str">
        <x:v>Each direct enemy hit grants +10 HIT for the next damaging active, up to +30. All stored HIT is spent on that cast; no damage bonus is generated.</x:v>
      </x:c>
      <x:c r="I32" s="50" t="str">
        <x:v>No</x:v>
      </x:c>
      <x:c r="J32" s="50" t="str">
        <x:v>Simple</x:v>
      </x:c>
      <x:c r="K32" s="50" t="str">
        <x:v>Incoming damage grants accuracy, not unlimited ATK. Magic damage and non-evasive tanks blunt its specific advantage.</x:v>
      </x:c>
      <x:c r="L32" s="50" t="str">
        <x:v>Retained kit</x:v>
      </x:c>
    </x:row>
    <x:row r="33" ht="72.5" customHeight="1">
      <x:c r="A33" s="49" t="n">
        <x:v>28</x:v>
      </x:c>
      <x:c r="B33" s="50" t="str">
        <x:v>Gonglet</x:v>
      </x:c>
      <x:c r="C33" s="51" t="str">
        <x:v>Tank / Supp</x:v>
      </x:c>
      <x:c r="D33" s="51" t="str">
        <x:v>Int-Based</x:v>
      </x:c>
      <x:c r="E33" s="50" t="str">
        <x:v>Ranged magical; sound pulses</x:v>
      </x:c>
      <x:c r="F33" s="50" t="str">
        <x:v>A resonant protector that turns incoming hits into one amplified team ward.</x:v>
      </x:c>
      <x:c r="G33" s="50" t="str">
        <x:v>Resonant Rim</x:v>
      </x:c>
      <x:c r="H33" s="50" t="str">
        <x:v>Every second direct hit received grants one Note, maximum 2; at most one Note every 1s. Its next ally shield spends all Notes for +0.30 M shield per Note, once per cast.</x:v>
      </x:c>
      <x:c r="I33" s="50" t="str">
        <x:v>No</x:v>
      </x:c>
      <x:c r="J33" s="50" t="str">
        <x:v>Simple</x:v>
      </x:c>
      <x:c r="K33" s="50" t="str">
        <x:v>Shield breaking consumes the main resource payoff. Rapid multi-hit skills count once per cast for Note generation.</x:v>
      </x:c>
      <x:c r="L33" s="50" t="str">
        <x:v>Retained kit</x:v>
      </x:c>
    </x:row>
    <x:row r="34" ht="110" customHeight="1">
      <x:c r="A34" s="49" t="n">
        <x:v>29</x:v>
      </x:c>
      <x:c r="B34" s="50" t="str">
        <x:v>Glassphoenix</x:v>
      </x:c>
      <x:c r="C34" s="51" t="str">
        <x:v>DPS</x:v>
      </x:c>
      <x:c r="D34" s="51" t="str">
        <x:v>Int-Based</x:v>
      </x:c>
      <x:c r="E34" s="50" t="str">
        <x:v>Ranged magical</x:v>
      </x:c>
      <x:c r="F34" s="50" t="str">
        <x:v>A fragile glass caster with one personal second chance, never a trainer resurrection.</x:v>
      </x:c>
      <x:c r="G34" s="50" t="str">
        <x:v>Cracked, Not Gone</x:v>
      </x:c>
      <x:c r="H34" s="50" t="str">
        <x:v>Once per battle, a lethal hit against Glassphoenix instead leaves it at 20% H and cancels excess damage from that hit. It then deals 10% less magic damage for the rest of battle. This never saves or revives the trainer.</x:v>
      </x:c>
      <x:c r="I34" s="50" t="str">
        <x:v>No</x:v>
      </x:c>
      <x:c r="J34" s="50" t="str">
        <x:v>Advanced</x:v>
      </x:c>
      <x:c r="K34" s="50" t="str">
        <x:v>Follow-up hits and DoTs can kill it immediately after the one-time save. No invulnerability window or passive refresh on healing. Splash uses actual radius and target caps rather than assuming only two enemy monsters; a boss is always one target regardless of hitboxes.</x:v>
      </x:c>
      <x:c r="L34" s="50" t="str">
        <x:v>Boss / group refinement</x:v>
      </x:c>
    </x:row>
    <x:row r="35" ht="72.5" customHeight="1">
      <x:c r="A35" s="49" t="n">
        <x:v>30</x:v>
      </x:c>
      <x:c r="B35" s="50" t="str">
        <x:v>Veilheron</x:v>
      </x:c>
      <x:c r="C35" s="51" t="str">
        <x:v>DPS</x:v>
      </x:c>
      <x:c r="D35" s="51" t="str">
        <x:v>Dex-Based</x:v>
      </x:c>
      <x:c r="E35" s="50" t="str">
        <x:v>Ranged physical; DEX sets A</x:v>
      </x:c>
      <x:c r="F35" s="50" t="str">
        <x:v>A veiled precision attacker that excels at opening a fresh target.</x:v>
      </x:c>
      <x:c r="G35" s="50" t="str">
        <x:v>Pristine Opening</x:v>
      </x:c>
      <x:c r="H35" s="50" t="str">
        <x:v>Direct hits against enemies above 80% HP ignore 8 percentage points of physical mitigation. Against enemies below that threshold, gain no passive damage bonus.</x:v>
      </x:c>
      <x:c r="I35" s="50" t="str">
        <x:v>No</x:v>
      </x:c>
      <x:c r="J35" s="50" t="str">
        <x:v>Simple</x:v>
      </x:c>
      <x:c r="K35" s="50" t="str">
        <x:v>The specialty disappears quickly as the target loses HP. Evasion does not protect against ordinary magic in this proposal.</x:v>
      </x:c>
      <x:c r="L35" s="50" t="str">
        <x:v>Retained kit</x:v>
      </x:c>
    </x:row>
    <x:row r="36" ht="85" customHeight="1">
      <x:c r="A36" s="49" t="n">
        <x:v>31</x:v>
      </x:c>
      <x:c r="B36" s="50" t="str">
        <x:v>Honeylark</x:v>
      </x:c>
      <x:c r="C36" s="51" t="str">
        <x:v>Supp</x:v>
      </x:c>
      <x:c r="D36" s="51" t="str">
        <x:v>Int-Based</x:v>
      </x:c>
      <x:c r="E36" s="50" t="str">
        <x:v>Ranged magical; song notes</x:v>
      </x:c>
      <x:c r="F36" s="50" t="str">
        <x:v>A nectar support whose healing improves an ally's next basic attack.</x:v>
      </x:c>
      <x:c r="G36" s="50" t="str">
        <x:v>Sweet Follow-Through</x:v>
      </x:c>
      <x:c r="H36" s="50" t="str">
        <x:v>An ally receiving effective healing from Honeylark gains Nectar for 3s: its next basic attack deals 15% more damage. One Nectar per ally; triggered/echoed damage cannot consume or retrigger it.</x:v>
      </x:c>
      <x:c r="I36" s="50" t="str">
        <x:v>No</x:v>
      </x:c>
      <x:c r="J36" s="50" t="str">
        <x:v>Simple</x:v>
      </x:c>
      <x:c r="K36" s="50" t="str">
        <x:v>Skill-only teams use Nectar poorly. Nectar boosts one actual basic cycle, not every hit of a multi-hit animation.</x:v>
      </x:c>
      <x:c r="L36" s="50" t="str">
        <x:v>Retained kit</x:v>
      </x:c>
    </x:row>
    <x:row r="37" ht="72.5" customHeight="1">
      <x:c r="A37" s="49" t="n">
        <x:v>32</x:v>
      </x:c>
      <x:c r="B37" s="50" t="str">
        <x:v>Hushowl</x:v>
      </x:c>
      <x:c r="C37" s="51" t="str">
        <x:v>DPS / Supp</x:v>
      </x:c>
      <x:c r="D37" s="51" t="str">
        <x:v>Strength-based</x:v>
      </x:c>
      <x:c r="E37" s="50" t="str">
        <x:v>Ranged physical; feather blades</x:v>
      </x:c>
      <x:c r="F37" s="50" t="str">
        <x:v>A physical owl that disrupts enemy actives without requiring INT investment.</x:v>
      </x:c>
      <x:c r="G37" s="50" t="str">
        <x:v>Watchful Mask</x:v>
      </x:c>
      <x:c r="H37" s="50" t="str">
        <x:v>After its current target casts an active, Hushowl's next basic hit within 2s deals +0.35 A physical damage. One stored response; at most one activation every 2s.</x:v>
      </x:c>
      <x:c r="I37" s="50" t="str">
        <x:v>No</x:v>
      </x:c>
      <x:c r="J37" s="50" t="str">
        <x:v>Simple</x:v>
      </x:c>
      <x:c r="K37" s="50" t="str">
        <x:v>Basic-attack-heavy enemies bypass most control value. Silence never resets a cooldown already counting down.</x:v>
      </x:c>
      <x:c r="L37" s="50" t="str">
        <x:v>Retained kit</x:v>
      </x:c>
    </x:row>
    <x:row r="38" ht="72.5" customHeight="1">
      <x:c r="A38" s="49" t="n">
        <x:v>33</x:v>
      </x:c>
      <x:c r="B38" s="50" t="str">
        <x:v>Razorwing</x:v>
      </x:c>
      <x:c r="C38" s="51" t="str">
        <x:v>DPS</x:v>
      </x:c>
      <x:c r="D38" s="51" t="str">
        <x:v>Dex-Based</x:v>
      </x:c>
      <x:c r="E38" s="50" t="str">
        <x:v>Melee physical; DEX sets A</x:v>
      </x:c>
      <x:c r="F38" s="50" t="str">
        <x:v>A physical insect that turns critical basics into a short, capped bleed.</x:v>
      </x:c>
      <x:c r="G38" s="50" t="str">
        <x:v>Serrated Edge</x:v>
      </x:c>
      <x:c r="H38" s="50" t="str">
        <x:v>Critical basic attacks apply a 2s bleed totaling 0.40 A physical damage. One bleed instance per target; reapplication refreshes duration without adding stacks.</x:v>
      </x:c>
      <x:c r="I38" s="50" t="str">
        <x:v>No</x:v>
      </x:c>
      <x:c r="J38" s="50" t="str">
        <x:v>Simple</x:v>
      </x:c>
      <x:c r="K38" s="50" t="str">
        <x:v>Bleed cleansing and anti-crit defenses weaken the chain. Bleed does not crit or trigger additional bleeds.</x:v>
      </x:c>
      <x:c r="L38" s="50" t="str">
        <x:v>Retained kit</x:v>
      </x:c>
    </x:row>
    <x:row r="39" ht="197.5" customHeight="1">
      <x:c r="A39" s="49" t="n">
        <x:v>34</x:v>
      </x:c>
      <x:c r="B39" s="50" t="str">
        <x:v>Snipstream</x:v>
      </x:c>
      <x:c r="C39" s="51" t="str">
        <x:v>DPS</x:v>
      </x:c>
      <x:c r="D39" s="51" t="str">
        <x:v>Dex-Based</x:v>
      </x:c>
      <x:c r="E39" s="50" t="str">
        <x:v>Ranged physical; DEX sets A</x:v>
      </x:c>
      <x:c r="F39" s="50" t="str">
        <x:v>A wind-chevron attacker that carries a capped amount of overkill into the next target.</x:v>
      </x:c>
      <x:c r="G39" s="50" t="str">
        <x:v>Waste Nothing</x:v>
      </x:c>
      <x:c r="H39" s="50" t="str">
        <x:v>Three consecutive landed personal basic attacks generate a 0.20 A Cut Reserve; a miss resets that count. A direct personal kill of an eligible encounter enemy instead stores unused direct damage up to 0.70 A. Keep only the stronger reserve, never add them. The next landed personal direct hit spends it as bonus physical damage on its legal target, including the same boss. A hit that spends a reserve cannot generate or advance another reserve. Temporary summons and structures cannot be used to generate reserves.</x:v>
      </x:c>
      <x:c r="I39" s="50" t="str">
        <x:v>No</x:v>
      </x:c>
      <x:c r="J39" s="50" t="str">
        <x:v>Moderate</x:v>
      </x:c>
      <x:c r="K39" s="50" t="str">
        <x:v>Misses disrupt the small reserve; ally kills do not earn personal overkill. A spent reserve cannot generate another one, and secondary damage cannot chain executes.</x:v>
      </x:c>
      <x:c r="L39" s="50" t="str">
        <x:v>Boss / group refinement</x:v>
      </x:c>
    </x:row>
    <x:row r="40" ht="85" customHeight="1">
      <x:c r="A40" s="49" t="n">
        <x:v>35</x:v>
      </x:c>
      <x:c r="B40" s="50" t="str">
        <x:v>Keepsake</x:v>
      </x:c>
      <x:c r="C40" s="51" t="str">
        <x:v>Supp</x:v>
      </x:c>
      <x:c r="D40" s="51" t="str">
        <x:v>Int-Based</x:v>
      </x:c>
      <x:c r="E40" s="50" t="str">
        <x:v>Ranged magical</x:v>
      </x:c>
      <x:c r="F40" s="50" t="str">
        <x:v>A pebble-hugging spirit that shelters the trainer and prepares one limited emergency cushion.</x:v>
      </x:c>
      <x:c r="G40" s="50" t="str">
        <x:v>Held Dear</x:v>
      </x:c>
      <x:c r="H40" s="50" t="str">
        <x:v>The first time each battle the trainer is about to be reduced below 30% HP by a direct enemy hit, add a shield equal to 8% H before that hit resolves. Requires Keepsake alive; excess damage can still kill the trainer.</x:v>
      </x:c>
      <x:c r="I40" s="50" t="str">
        <x:v>No</x:v>
      </x:c>
      <x:c r="J40" s="50" t="str">
        <x:v>Advanced</x:v>
      </x:c>
      <x:c r="K40" s="50" t="str">
        <x:v>The emergency cushion is a finite pre-hit shield, not invulnerability or revival. Remove Keepsake or consume the cushion before the largest burst.</x:v>
      </x:c>
      <x:c r="L40" s="50" t="str">
        <x:v>Retained kit</x:v>
      </x:c>
    </x:row>
    <x:row r="41" ht="72.5" customHeight="1">
      <x:c r="A41" s="49" t="n">
        <x:v>36</x:v>
      </x:c>
      <x:c r="B41" s="50" t="str">
        <x:v>Hopgrit</x:v>
      </x:c>
      <x:c r="C41" s="51" t="str">
        <x:v>Fighter</x:v>
      </x:c>
      <x:c r="D41" s="51" t="str">
        <x:v>Strength-based</x:v>
      </x:c>
      <x:c r="E41" s="50" t="str">
        <x:v>Melee physical</x:v>
      </x:c>
      <x:c r="F41" s="50" t="str">
        <x:v>A stubborn leg-powered fighter that punishes its opponent for using actives.</x:v>
      </x:c>
      <x:c r="G41" s="50" t="str">
        <x:v>Dig in the Heels</x:v>
      </x:c>
      <x:c r="H41" s="50" t="str">
        <x:v>When its current target casts an active, gain one Grit for 3s. The next landed basic attack spends Grit for +0.40 A physical damage and +20 HIT. One Grit maximum; 2s trigger cooldown.</x:v>
      </x:c>
      <x:c r="I41" s="50" t="str">
        <x:v>No</x:v>
      </x:c>
      <x:c r="J41" s="50" t="str">
        <x:v>Simple</x:v>
      </x:c>
      <x:c r="K41" s="50" t="str">
        <x:v>The passive is weaker into enemies that rarely cast. A stored Grit cannot multiply across a multi-hit basic animation.</x:v>
      </x:c>
      <x:c r="L41" s="50" t="str">
        <x:v>Retained kit</x:v>
      </x:c>
    </x:row>
    <x:row r="42" ht="122.5" customHeight="1">
      <x:c r="A42" s="49" t="n">
        <x:v>37</x:v>
      </x:c>
      <x:c r="B42" s="50" t="str">
        <x:v>Tempestool</x:v>
      </x:c>
      <x:c r="C42" s="51" t="str">
        <x:v>DPS / Supp</x:v>
      </x:c>
      <x:c r="D42" s="51" t="str">
        <x:v>Int-Based</x:v>
      </x:c>
      <x:c r="E42" s="50" t="str">
        <x:v>Ranged magical</x:v>
      </x:c>
      <x:c r="F42" s="50" t="str">
        <x:v>A storm-mushroom caster that can deploy one destructible lightning node or retain its anti-magic support branch.</x:v>
      </x:c>
      <x:c r="G42" s="50" t="str">
        <x:v>Pressure Spores</x:v>
      </x:c>
      <x:c r="H42" s="50" t="str">
        <x:v>A direct damaging signature applies one Spore for 3s. Its target's next active consumes it for 0.40 M magic damage after that active resolves; 2s reapplication cooldown per target. Thunderhead Totem applies a Spore only on its first pulse, once per target. Later pulses do not repeatedly reapply it.</x:v>
      </x:c>
      <x:c r="I42" s="50" t="str">
        <x:v>No</x:v>
      </x:c>
      <x:c r="J42" s="50" t="str">
        <x:v>Moderate</x:v>
      </x:c>
      <x:c r="K42" s="50" t="str">
        <x:v>Enemies can destroy the Stormcap or leave its fixed radius after a target death. Basic-attack opponents reduce Spore value but not ordinary pulse damage. Killing the owner removes the node.</x:v>
      </x:c>
      <x:c r="L42" s="50" t="str">
        <x:v>Summon / arena rework</x:v>
      </x:c>
    </x:row>
    <x:row r="43" ht="85" customHeight="1">
      <x:c r="A43" s="49" t="n">
        <x:v>38</x:v>
      </x:c>
      <x:c r="B43" s="50" t="str">
        <x:v>Windlass</x:v>
      </x:c>
      <x:c r="C43" s="51" t="str">
        <x:v>Fighter</x:v>
      </x:c>
      <x:c r="D43" s="51" t="str">
        <x:v>Strength-based</x:v>
      </x:c>
      <x:c r="E43" s="50" t="str">
        <x:v>Melee physical</x:v>
      </x:c>
      <x:c r="F43" s="50" t="str">
        <x:v>A heavy ring fighter that builds stable torque rather than movement speed.</x:v>
      </x:c>
      <x:c r="G43" s="50" t="str">
        <x:v>Flywheel</x:v>
      </x:c>
      <x:c r="H43" s="50" t="str">
        <x:v>Each landed basic attack on the same normal target grants +4% physical damage, up to 12%. Reset only when that target dies; temporary taunts pause the bonus against other targets rather than generating new stacks.</x:v>
      </x:c>
      <x:c r="I43" s="50" t="str">
        <x:v>No</x:v>
      </x:c>
      <x:c r="J43" s="50" t="str">
        <x:v>Moderate</x:v>
      </x:c>
      <x:c r="K43" s="50" t="str">
        <x:v>Misses slow the small ramp. The cap is deliberately low; a long battle does not create runaway ATK.</x:v>
      </x:c>
      <x:c r="L43" s="50" t="str">
        <x:v>Retained kit</x:v>
      </x:c>
    </x:row>
    <x:row r="44" ht="85" customHeight="1">
      <x:c r="A44" s="49" t="n">
        <x:v>39</x:v>
      </x:c>
      <x:c r="B44" s="50" t="str">
        <x:v>Tempestrook</x:v>
      </x:c>
      <x:c r="C44" s="51" t="str">
        <x:v>DPS</x:v>
      </x:c>
      <x:c r="D44" s="51" t="str">
        <x:v>Strength-based</x:v>
      </x:c>
      <x:c r="E44" s="50" t="str">
        <x:v>Ranged physical; wing blades use A</x:v>
      </x:c>
      <x:c r="F44" s="50" t="str">
        <x:v>A six-winged physical damage dealer that trades its own safety for a bounded power surge.</x:v>
      </x:c>
      <x:c r="G44" s="50" t="str">
        <x:v>Shed the Storm</x:v>
      </x:c>
      <x:c r="H44" s="50" t="str">
        <x:v>The first time Tempestrook falls below 70% HP and below 40% HP, gain +8% physical damage for the rest of battle, maximum +16%. Only enemy damage crosses these thresholds; no retrigger on healing.</x:v>
      </x:c>
      <x:c r="I44" s="50" t="str">
        <x:v>No</x:v>
      </x:c>
      <x:c r="J44" s="50" t="str">
        <x:v>Simple</x:v>
      </x:c>
      <x:c r="K44" s="50" t="str">
        <x:v>Threshold bonuses cannot save it from one lethal hit. Multi-hit visuals never multiply on-hit procs or independently crit.</x:v>
      </x:c>
      <x:c r="L44" s="50" t="str">
        <x:v>Retained kit</x:v>
      </x:c>
    </x:row>
    <x:row r="45" ht="60" customHeight="1">
      <x:c r="A45" s="49" t="n">
        <x:v>40</x:v>
      </x:c>
      <x:c r="B45" s="50" t="str">
        <x:v>Velvimp</x:v>
      </x:c>
      <x:c r="C45" s="51" t="str">
        <x:v>DPS</x:v>
      </x:c>
      <x:c r="D45" s="51" t="str">
        <x:v>Int-Based</x:v>
      </x:c>
      <x:c r="E45" s="50" t="str">
        <x:v>Ranged magical</x:v>
      </x:c>
      <x:c r="F45" s="50" t="str">
        <x:v>A velvet-winged spell attacker specialized in stripping simple enemy buffs.</x:v>
      </x:c>
      <x:c r="G45" s="50" t="str">
        <x:v>Envious Grin</x:v>
      </x:c>
      <x:c r="H45" s="50" t="str">
        <x:v>Deal 12% more magic damage to enemies carrying a removable positive buff or shield. Permanent passives and unremovable boss states do not count.</x:v>
      </x:c>
      <x:c r="I45" s="50" t="str">
        <x:v>No</x:v>
      </x:c>
      <x:c r="J45" s="50" t="str">
        <x:v>Simple</x:v>
      </x:c>
      <x:c r="K45" s="50" t="str">
        <x:v>Unbuffed teams deny the passive. Removing a buff also ends the bonus against that target, so the kit is not an unlimited positive feedback loop.</x:v>
      </x:c>
      <x:c r="L45" s="50" t="str">
        <x:v>Retained kit</x:v>
      </x:c>
    </x:row>
    <x:row r="46" ht="72.5" customHeight="1">
      <x:c r="A46" s="49" t="n">
        <x:v>41</x:v>
      </x:c>
      <x:c r="B46" s="50" t="str">
        <x:v>Brooktoad</x:v>
      </x:c>
      <x:c r="C46" s="51" t="str">
        <x:v>Supp</x:v>
      </x:c>
      <x:c r="D46" s="51" t="str">
        <x:v>Int-Based</x:v>
      </x:c>
      <x:c r="E46" s="50" t="str">
        <x:v>Ranged magical; water notes</x:v>
      </x:c>
      <x:c r="F46" s="50" t="str">
        <x:v>A throat-bowl healer that recovers some otherwise-wasted healing.</x:v>
      </x:c>
      <x:c r="G46" s="50" t="str">
        <x:v>Bowl of Plenty</x:v>
      </x:c>
      <x:c r="H46" s="50" t="str">
        <x:v>Store 50% of overhealing caused by Brooktoad as Water, capped at 0.90 M. Stored Water can be added only to Bowlful of Care; it never counts as new overhealing.</x:v>
      </x:c>
      <x:c r="I46" s="50" t="str">
        <x:v>No</x:v>
      </x:c>
      <x:c r="J46" s="50" t="str">
        <x:v>Simple</x:v>
      </x:c>
      <x:c r="K46" s="50" t="str">
        <x:v>Overhealing is not generated for free while everyone is healthy: autocast gates still apply. Anti-heal reduces the stored-heal payoff.</x:v>
      </x:c>
      <x:c r="L46" s="50" t="str">
        <x:v>Retained kit</x:v>
      </x:c>
    </x:row>
    <x:row r="47" ht="60" customHeight="1">
      <x:c r="A47" s="49" t="n">
        <x:v>42</x:v>
      </x:c>
      <x:c r="B47" s="50" t="str">
        <x:v>Puffiend</x:v>
      </x:c>
      <x:c r="C47" s="51" t="str">
        <x:v>DPS</x:v>
      </x:c>
      <x:c r="D47" s="51" t="str">
        <x:v>Dex-Based</x:v>
      </x:c>
      <x:c r="E47" s="50" t="str">
        <x:v>Ranged physical; precise cinder pellets</x:v>
      </x:c>
      <x:c r="F47" s="50" t="str">
        <x:v>A cheek-puffed DEX attacker whose held breath can become a volley or a shield.</x:v>
      </x:c>
      <x:c r="G47" s="50" t="str">
        <x:v>Puffed Cheeks</x:v>
      </x:c>
      <x:c r="H47" s="50" t="str">
        <x:v>At battle start and after each damaging 12s-slot cast, gain 2 Puffs. A basic attack spends one Puff for +0.30 A physical damage; maximum 2.</x:v>
      </x:c>
      <x:c r="I47" s="50" t="str">
        <x:v>No</x:v>
      </x:c>
      <x:c r="J47" s="50" t="str">
        <x:v>Moderate</x:v>
      </x:c>
      <x:c r="K47" s="50" t="str">
        <x:v>Puffs cannot be spent on both a shield and a basic attack. They never add separate proc rolls to the five-hit animation.</x:v>
      </x:c>
      <x:c r="L47" s="50" t="str">
        <x:v>Retained kit</x:v>
      </x:c>
    </x:row>
    <x:row r="48" ht="135" customHeight="1">
      <x:c r="A48" s="49" t="n">
        <x:v>43</x:v>
      </x:c>
      <x:c r="B48" s="50" t="str">
        <x:v>Crucibulk</x:v>
      </x:c>
      <x:c r="C48" s="51" t="str">
        <x:v>Tank / Supp</x:v>
      </x:c>
      <x:c r="D48" s="51" t="str">
        <x:v>Int-Based</x:v>
      </x:c>
      <x:c r="E48" s="50" t="str">
        <x:v>Ranged magical; short molten ladles</x:v>
      </x:c>
      <x:c r="F48" s="50" t="str">
        <x:v>A magical foundry that recasts absorbed shielding into a strike, a ward, or a small forged guardian.</x:v>
      </x:c>
      <x:c r="G48" s="50" t="str">
        <x:v>Recast the Slag</x:v>
      </x:c>
      <x:c r="H48" s="50" t="str">
        <x:v>Store 25% of damage absorbed by shields on Crucibulk itself as Slag, capped at 1.00 M. The next damaging signature spends it as bonus damage; Pour a Protector spends it as added shielding; Cast a Kilnling spends it as added summon HP. The same reserve cannot fund two effects. Damage to a summon and redirected HP loss generate no Slag.</x:v>
      </x:c>
      <x:c r="I48" s="50" t="str">
        <x:v>No</x:v>
      </x:c>
      <x:c r="J48" s="50" t="str">
        <x:v>Advanced</x:v>
      </x:c>
      <x:c r="K48" s="50" t="str">
        <x:v>Kilnling HP is capped, redirected damage is not mitigated twice, and only self-shields generate Slag. Enemy area damage can destroy caster and guardian together. The immediate ward and summon use the same 8s slot.</x:v>
      </x:c>
      <x:c r="L48" s="50" t="str">
        <x:v>Summon / arena rework</x:v>
      </x:c>
    </x:row>
    <x:row r="49" ht="85" customHeight="1">
      <x:c r="A49" s="49" t="n">
        <x:v>44</x:v>
      </x:c>
      <x:c r="B49" s="50" t="str">
        <x:v>Starfrog</x:v>
      </x:c>
      <x:c r="C49" s="51" t="str">
        <x:v>DPS</x:v>
      </x:c>
      <x:c r="D49" s="51" t="str">
        <x:v>Int-Based</x:v>
      </x:c>
      <x:c r="E49" s="50" t="str">
        <x:v>Ranged magical</x:v>
      </x:c>
      <x:c r="F49" s="50" t="str">
        <x:v>A star-bellied spell attacker that benefits from an active-casting team.</x:v>
      </x:c>
      <x:c r="G49" s="50" t="str">
        <x:v>Pocket Constellation</x:v>
      </x:c>
      <x:c r="H49" s="50" t="str">
        <x:v>When another ally casts an active, gain one Star, maximum 3; shared 1s gain cooldown. The next damaging signature consumes all Stars for +0.20 M magic damage each. Start battle with one Star.</x:v>
      </x:c>
      <x:c r="I49" s="50" t="str">
        <x:v>No</x:v>
      </x:c>
      <x:c r="J49" s="50" t="str">
        <x:v>Moderate</x:v>
      </x:c>
      <x:c r="K49" s="50" t="str">
        <x:v>Rapid ally echoes and triggered effects do not count as casts. Small and large damage skills compete for the same Stars.</x:v>
      </x:c>
      <x:c r="L49" s="50" t="str">
        <x:v>Retained kit</x:v>
      </x:c>
    </x:row>
    <x:row r="50" ht="60" customHeight="1">
      <x:c r="A50" s="49" t="n">
        <x:v>45</x:v>
      </x:c>
      <x:c r="B50" s="50" t="str">
        <x:v>Auroradrake</x:v>
      </x:c>
      <x:c r="C50" s="51" t="str">
        <x:v>Fighter / Supp</x:v>
      </x:c>
      <x:c r="D50" s="51" t="str">
        <x:v>Int-Based</x:v>
      </x:c>
      <x:c r="E50" s="50" t="str">
        <x:v>Melee magical; basics use M</x:v>
      </x:c>
      <x:c r="F50" s="50" t="str">
        <x:v>A ribbon-gilled spell bruiser that diverts a little of its offensive work into ally recovery.</x:v>
      </x:c>
      <x:c r="G50" s="50" t="str">
        <x:v>Dawn Exchange</x:v>
      </x:c>
      <x:c r="H50" s="50" t="str">
        <x:v>Direct damage from a signature heals the lowest-HP% ally for 20% of actual HP damage dealt, capped at 0.45 M per cast. Shield damage does not count.</x:v>
      </x:c>
      <x:c r="I50" s="50" t="str">
        <x:v>No</x:v>
      </x:c>
      <x:c r="J50" s="50" t="str">
        <x:v>Simple</x:v>
      </x:c>
      <x:c r="K50" s="50" t="str">
        <x:v>High enemy mitigation and shields reduce its passive healing. It cannot sustain by attacking an invulnerable target.</x:v>
      </x:c>
      <x:c r="L50" s="50" t="str">
        <x:v>Retained kit</x:v>
      </x:c>
    </x:row>
    <x:row r="51" ht="135" customHeight="1">
      <x:c r="A51" s="49" t="n">
        <x:v>46</x:v>
      </x:c>
      <x:c r="B51" s="50" t="str">
        <x:v>Cindertroop</x:v>
      </x:c>
      <x:c r="C51" s="51" t="str">
        <x:v>Fighter</x:v>
      </x:c>
      <x:c r="D51" s="51" t="str">
        <x:v>Strength-based</x:v>
      </x:c>
      <x:c r="E51" s="50" t="str">
        <x:v>Melee physical; queen is the core unit, ants are separate summons</x:v>
      </x:c>
      <x:c r="F51" s="50" t="str">
        <x:v>A frontline queen whose soldier brood supplies physical pressure, with a mutually exclusive 8s bodyguard branch.</x:v>
      </x:c>
      <x:c r="G51" s="50" t="str">
        <x:v>Colony Command</x:v>
      </x:c>
      <x:c r="H51" s="50" t="str">
        <x:v>Begin battle with one Soldier Ant for 6s. Cindertroop's Soldier Ants deal 15% more damage while attacking the same target as the queen. Ants have their own small HP pools and fixed attack clocks; the queen retains her own basic attacks. Maximum 3 Soldier Ants plus 1 Shield Ant. Ant damage does not generate owner on-hit effects.</x:v>
      </x:c>
      <x:c r="I51" s="50" t="str">
        <x:v>No</x:v>
      </x:c>
      <x:c r="J51" s="50" t="str">
        <x:v>Moderate</x:v>
      </x:c>
      <x:c r="K51" s="50" t="str">
        <x:v>Cleave kills the small soldiers; a strong hit can exhaust the Shield Ant's entire budget. Spawning ants does not force existing enemies to retarget. No ant reproduces, grants kill/death rewards, or revives the trainer.</x:v>
      </x:c>
      <x:c r="L51" s="50" t="str">
        <x:v>Summon / arena rework</x:v>
      </x:c>
    </x:row>
    <x:row r="52" ht="85" customHeight="1">
      <x:c r="A52" s="49" t="n">
        <x:v>47</x:v>
      </x:c>
      <x:c r="B52" s="50" t="str">
        <x:v>Cloverguard</x:v>
      </x:c>
      <x:c r="C52" s="51" t="str">
        <x:v>Tank</x:v>
      </x:c>
      <x:c r="D52" s="51" t="str">
        <x:v>Strength-based</x:v>
      </x:c>
      <x:c r="E52" s="50" t="str">
        <x:v>Melee physical</x:v>
      </x:c>
      <x:c r="F52" s="50" t="str">
        <x:v>A leaf-plated tank with a bounded evasion-to-mitigation loop.</x:v>
      </x:c>
      <x:c r="G52" s="50" t="str">
        <x:v>Lucky Leaf</x:v>
      </x:c>
      <x:c r="H52" s="50" t="str">
        <x:v>Start with one Clover, maximum 2. Evading an eligible enemy basic attack grants one Clover. The next direct hit consumes one to reduce that hit by 20%; a single event cannot both grant and consume one.</x:v>
      </x:c>
      <x:c r="I52" s="50" t="str">
        <x:v>No</x:v>
      </x:c>
      <x:c r="J52" s="50" t="str">
        <x:v>Moderate</x:v>
      </x:c>
      <x:c r="K52" s="50" t="str">
        <x:v>Magic and accuracy buffs bypass the evasion engine. No Clover is created by shield absorption, an invulnerable hit, or a counter effect.</x:v>
      </x:c>
      <x:c r="L52" s="50" t="str">
        <x:v>Retained kit</x:v>
      </x:c>
    </x:row>
    <x:row r="53" ht="72.5" customHeight="1">
      <x:c r="A53" s="49" t="n">
        <x:v>48</x:v>
      </x:c>
      <x:c r="B53" s="50" t="str">
        <x:v>Reefvault</x:v>
      </x:c>
      <x:c r="C53" s="51" t="str">
        <x:v>DPS</x:v>
      </x:c>
      <x:c r="D53" s="51" t="str">
        <x:v>Strength-based</x:v>
      </x:c>
      <x:c r="E53" s="50" t="str">
        <x:v>Melee physical</x:v>
      </x:c>
      <x:c r="F53" s="50" t="str">
        <x:v>A powerful hind-leg attacker that can crack a defended frontline or play as a guarded striker.</x:v>
      </x:c>
      <x:c r="G53" s="50" t="str">
        <x:v>Long Lever</x:v>
      </x:c>
      <x:c r="H53" s="50" t="str">
        <x:v>Direct attacks ignore 6 percentage points of physical mitigation while Reefvault is above 60% HP. The bonus is lost immediately below that threshold.</x:v>
      </x:c>
      <x:c r="I53" s="50" t="str">
        <x:v>No</x:v>
      </x:c>
      <x:c r="J53" s="50" t="str">
        <x:v>Simple</x:v>
      </x:c>
      <x:c r="K53" s="50" t="str">
        <x:v>Damage that pushes it below 60% removes the penetration. Healing denial makes it hard to re-enter the useful health band.</x:v>
      </x:c>
      <x:c r="L53" s="50" t="str">
        <x:v>Retained kit</x:v>
      </x:c>
    </x:row>
    <x:row r="54" ht="85" customHeight="1">
      <x:c r="A54" s="49" t="n">
        <x:v>49</x:v>
      </x:c>
      <x:c r="B54" s="50" t="str">
        <x:v>Cinderwink</x:v>
      </x:c>
      <x:c r="C54" s="51" t="str">
        <x:v>DPS</x:v>
      </x:c>
      <x:c r="D54" s="51" t="str">
        <x:v>Int-Based</x:v>
      </x:c>
      <x:c r="E54" s="50" t="str">
        <x:v>Ranged magical</x:v>
      </x:c>
      <x:c r="F54" s="50" t="str">
        <x:v>A soot spirit that builds a few short-lived embers and cashes them out.</x:v>
      </x:c>
      <x:c r="G54" s="50" t="str">
        <x:v>Little Embers</x:v>
      </x:c>
      <x:c r="H54" s="50" t="str">
        <x:v>Basic hits apply one Ember for 3s, maximum 3. Each Ember deals 0.10 M magic damage per second; refresh duration without resetting existing tick timers. Embers cannot crit or generate more Embers.</x:v>
      </x:c>
      <x:c r="I54" s="50" t="str">
        <x:v>No</x:v>
      </x:c>
      <x:c r="J54" s="50" t="str">
        <x:v>Moderate</x:v>
      </x:c>
      <x:c r="K54" s="50" t="str">
        <x:v>Cleansing removes its preparation. Ember count and damage are capped; rapid basic attacks refresh stacks rather than multiplying tick frequency.</x:v>
      </x:c>
      <x:c r="L54" s="50" t="str">
        <x:v>Retained kit</x:v>
      </x:c>
    </x:row>
    <x:row r="55" ht="72.5" customHeight="1">
      <x:c r="A55" s="49" t="n">
        <x:v>50</x:v>
      </x:c>
      <x:c r="B55" s="50" t="str">
        <x:v>Leafmantis</x:v>
      </x:c>
      <x:c r="C55" s="51" t="str">
        <x:v>DPS</x:v>
      </x:c>
      <x:c r="D55" s="51" t="str">
        <x:v>Dex-Based</x:v>
      </x:c>
      <x:c r="E55" s="50" t="str">
        <x:v>Melee physical; DEX sets A</x:v>
      </x:c>
      <x:c r="F55" s="50" t="str">
        <x:v>A folded-blade attacker that turns a defensive or buff cast into its next opening.</x:v>
      </x:c>
      <x:c r="G55" s="50" t="str">
        <x:v>Folded Ambush</x:v>
      </x:c>
      <x:c r="H55" s="50" t="str">
        <x:v>Casting a non-damaging active grants Ambush for 3s: the next direct attack deals 20% more damage. One Ambush at a time; it can be spent by a basic attack.</x:v>
      </x:c>
      <x:c r="I55" s="50" t="str">
        <x:v>No</x:v>
      </x:c>
      <x:c r="J55" s="50" t="str">
        <x:v>Moderate</x:v>
      </x:c>
      <x:c r="K55" s="50" t="str">
        <x:v>Fast basics may spend Ambush before the heavy skill. This is an intentional loadout/attack-speed trade-off, not a hidden guaranteed combo.</x:v>
      </x:c>
      <x:c r="L55" s="50" t="str">
        <x:v>Retained kit</x:v>
      </x:c>
    </x:row>
    <x:row r="56" ht="85" customHeight="1">
      <x:c r="A56" s="49" t="n">
        <x:v>51</x:v>
      </x:c>
      <x:c r="B56" s="50" t="str">
        <x:v>Lumimoth</x:v>
      </x:c>
      <x:c r="C56" s="51" t="str">
        <x:v>Supp</x:v>
      </x:c>
      <x:c r="D56" s="51" t="str">
        <x:v>Int-Based</x:v>
      </x:c>
      <x:c r="E56" s="50" t="str">
        <x:v>Ranged magical</x:v>
      </x:c>
      <x:c r="F56" s="50" t="str">
        <x:v>A lantern support that extends precision and modest basic-attack support through two destructible beacons.</x:v>
      </x:c>
      <x:c r="G56" s="50" t="str">
        <x:v>Guiding Lanterns</x:v>
      </x:c>
      <x:c r="H56" s="50" t="str">
        <x:v>All living core allies gain +15 HIT while Lumimoth lives. A core ally shielded by Lumimoth or inside one of its Light Beacons gains a further +10 HIT; these two conditions do not stack.</x:v>
      </x:c>
      <x:c r="I56" s="50" t="str">
        <x:v>No</x:v>
      </x:c>
      <x:c r="J56" s="50" t="str">
        <x:v>Moderate</x:v>
      </x:c>
      <x:c r="K56" s="50" t="str">
        <x:v>Beacons do not buff temporary summons, cannot stack accuracy/damage auras, and disappear on owner death. Accurate teams gain less. Fixed beacons can be left behind after the frontline moves.</x:v>
      </x:c>
      <x:c r="L56" s="50" t="str">
        <x:v>Summon / arena rework</x:v>
      </x:c>
    </x:row>
    <x:row r="57" ht="85" customHeight="1">
      <x:c r="A57" s="49" t="n">
        <x:v>52</x:v>
      </x:c>
      <x:c r="B57" s="50" t="str">
        <x:v>Mirrormantis</x:v>
      </x:c>
      <x:c r="C57" s="51" t="str">
        <x:v>Fighter</x:v>
      </x:c>
      <x:c r="D57" s="51" t="str">
        <x:v>Strength-based</x:v>
      </x:c>
      <x:c r="E57" s="50" t="str">
        <x:v>Melee physical</x:v>
      </x:c>
      <x:c r="F57" s="50" t="str">
        <x:v>A mirror-armed fighter that reflects a small portion of direct skill pressure while shielded.</x:v>
      </x:c>
      <x:c r="G57" s="50" t="str">
        <x:v>False Torso</x:v>
      </x:c>
      <x:c r="H57" s="50" t="str">
        <x:v>While self-shielded, receiving a direct enemy active reflects 20% of its post-mitigation damage as physical damage, capped at 0.60 A. At most once every 2s; reflection cannot reflect or trigger procs.</x:v>
      </x:c>
      <x:c r="I57" s="50" t="str">
        <x:v>No</x:v>
      </x:c>
      <x:c r="J57" s="50" t="str">
        <x:v>Simple</x:v>
      </x:c>
      <x:c r="K57" s="50" t="str">
        <x:v>Basic-attack teams trigger no reflection. Breaking the shield before the heavy active shuts off the passive.</x:v>
      </x:c>
      <x:c r="L57" s="50" t="str">
        <x:v>Retained kit</x:v>
      </x:c>
    </x:row>
    <x:row r="58" ht="72.5" customHeight="1">
      <x:c r="A58" s="49" t="n">
        <x:v>53</x:v>
      </x:c>
      <x:c r="B58" s="50" t="str">
        <x:v>Prismspear</x:v>
      </x:c>
      <x:c r="C58" s="51" t="str">
        <x:v>DPS</x:v>
      </x:c>
      <x:c r="D58" s="51" t="str">
        <x:v>Dex-Based</x:v>
      </x:c>
      <x:c r="E58" s="50" t="str">
        <x:v>Ranged physical; DEX sets A</x:v>
      </x:c>
      <x:c r="F58" s="50" t="str">
        <x:v>A crystal marksman with mixed damage types but only one offensive scaling stat.</x:v>
      </x:c>
      <x:c r="G58" s="50" t="str">
        <x:v>Spectral Afterimage</x:v>
      </x:c>
      <x:c r="H58" s="50" t="str">
        <x:v>Once every 1s, a landed direct physical signature adds 0.20 A magic damage to the same target. This scales from A, not M, and cannot crit or trigger another afterimage.</x:v>
      </x:c>
      <x:c r="I58" s="50" t="str">
        <x:v>No</x:v>
      </x:c>
      <x:c r="J58" s="50" t="str">
        <x:v>Simple</x:v>
      </x:c>
      <x:c r="K58" s="50" t="str">
        <x:v>Balanced DEF/MDEF handles it better than physical defense alone. Magic portions do not inherit physical crit or armor-penetration bonuses.</x:v>
      </x:c>
      <x:c r="L58" s="50" t="str">
        <x:v>Retained kit</x:v>
      </x:c>
    </x:row>
    <x:row r="59" ht="97.5" customHeight="1">
      <x:c r="A59" s="49" t="n">
        <x:v>54</x:v>
      </x:c>
      <x:c r="B59" s="50" t="str">
        <x:v>Resinrook</x:v>
      </x:c>
      <x:c r="C59" s="51" t="str">
        <x:v>Tank</x:v>
      </x:c>
      <x:c r="D59" s="51" t="str">
        <x:v>Strength-based</x:v>
      </x:c>
      <x:c r="E59" s="50" t="str">
        <x:v>Melee physical</x:v>
      </x:c>
      <x:c r="F59" s="50" t="str">
        <x:v>An amber bastion that can protect a line of fire with a destructible resin screen.</x:v>
      </x:c>
      <x:c r="G59" s="50" t="str">
        <x:v>Clinging Resin</x:v>
      </x:c>
      <x:c r="H59" s="50" t="str">
        <x:v>An enemy that lands a basic attack on Resinrook or hits its Resin Screen with a basic projectile has its basic-attack interval increased by 10% for 2s. Reapplication refreshes duration, never magnitude. Active cooldowns and movement speed are unchanged.</x:v>
      </x:c>
      <x:c r="I59" s="50" t="str">
        <x:v>No</x:v>
      </x:c>
      <x:c r="J59" s="50" t="str">
        <x:v>Advanced</x:v>
      </x:c>
      <x:c r="K59" s="50" t="str">
        <x:v>Screen interception is its own collision event, not global damage redirection. One projectile can hit at most one allied screen. Piercing/area attacks ignore it, and screens never seal a corridor or interrupt a locked melee duel.</x:v>
      </x:c>
      <x:c r="L59" s="50" t="str">
        <x:v>Summon / arena rework</x:v>
      </x:c>
    </x:row>
    <x:row r="60" ht="135" customHeight="1">
      <x:c r="A60" s="49" t="n">
        <x:v>55</x:v>
      </x:c>
      <x:c r="B60" s="50" t="str">
        <x:v>Saffrune</x:v>
      </x:c>
      <x:c r="C60" s="51" t="str">
        <x:v>Supp</x:v>
      </x:c>
      <x:c r="D60" s="51" t="str">
        <x:v>Int-Based</x:v>
      </x:c>
      <x:c r="E60" s="50" t="str">
        <x:v>Ranged magical</x:v>
      </x:c>
      <x:c r="F60" s="50" t="str">
        <x:v>A rune support choosing an offensive focus-fire standard or a renewable ward standard.</x:v>
      </x:c>
      <x:c r="G60" s="50" t="str">
        <x:v>Threefold Inscription</x:v>
      </x:c>
      <x:c r="H60" s="50" t="str">
        <x:v>After Saffrune personally casts once from each of its 4s, 8s, and 12s slots, each other core ally's next active within 4s gains +12% primary damage, healing, or shielding. Reset the three checkmarks; 6s trigger cooldown. Deploying a standard counts as its one owner cast; structure pulses and allies' casts do not advance the checkmarks.</x:v>
      </x:c>
      <x:c r="I60" s="50" t="str">
        <x:v>No</x:v>
      </x:c>
      <x:c r="J60" s="50" t="str">
        <x:v>Moderate</x:v>
      </x:c>
      <x:c r="K60" s="50" t="str">
        <x:v>Temporary units cannot receive these auras or trigger the standards. Structure pulses do not start fresh Inscription cycles. Fixed radii reward deliberate deployment but do not make standing allies immortal.</x:v>
      </x:c>
      <x:c r="L60" s="50" t="str">
        <x:v>Summon / arena rework</x:v>
      </x:c>
    </x:row>
    <x:row r="61" ht="72.5" customHeight="1">
      <x:c r="A61" s="49" t="n">
        <x:v>56</x:v>
      </x:c>
      <x:c r="B61" s="50" t="str">
        <x:v>Coalgrub</x:v>
      </x:c>
      <x:c r="C61" s="51" t="str">
        <x:v>Fighter</x:v>
      </x:c>
      <x:c r="D61" s="51" t="str">
        <x:v>Strength-based</x:v>
      </x:c>
      <x:c r="E61" s="50" t="str">
        <x:v>Melee physical</x:v>
      </x:c>
      <x:c r="F61" s="50" t="str">
        <x:v>A charcoal brawler that shrugs off some attrition and flares while scorched.</x:v>
      </x:c>
      <x:c r="G61" s="50" t="str">
        <x:v>Charproof Hide</x:v>
      </x:c>
      <x:c r="H61" s="50" t="str">
        <x:v>Take 25% less damage from enemy damage-over-time effects. While any enemy DoT is active on Coalgrub, its direct physical attacks deal 10% more damage; the DoT need not be fire.</x:v>
      </x:c>
      <x:c r="I61" s="50" t="str">
        <x:v>No</x:v>
      </x:c>
      <x:c r="J61" s="50" t="str">
        <x:v>Simple</x:v>
      </x:c>
      <x:c r="K61" s="50" t="str">
        <x:v>It is not immune to DoTs, and direct burst bypasses Charproof Hide. Do not add self-inflicted DoTs solely to farm the passive.</x:v>
      </x:c>
      <x:c r="L61" s="50" t="str">
        <x:v>Retained kit</x:v>
      </x:c>
    </x:row>
    <x:row r="62" ht="72.5" customHeight="1">
      <x:c r="A62" s="49" t="n">
        <x:v>57</x:v>
      </x:c>
      <x:c r="B62" s="50" t="str">
        <x:v>Sunscarab</x:v>
      </x:c>
      <x:c r="C62" s="51" t="str">
        <x:v>Tank / Supp</x:v>
      </x:c>
      <x:c r="D62" s="51" t="str">
        <x:v>Int-Based</x:v>
      </x:c>
      <x:c r="E62" s="50" t="str">
        <x:v>Melee magical; radiant presses use M</x:v>
      </x:c>
      <x:c r="F62" s="50" t="str">
        <x:v>A sun-shell tank/support with a simple healthy-versus-wounded healing stance.</x:v>
      </x:c>
      <x:c r="G62" s="50" t="str">
        <x:v>Solar Balance</x:v>
      </x:c>
      <x:c r="H62" s="50" t="str">
        <x:v>Above 50% HP, Sunscarab's healing output is 15% greater. At 50% HP or lower, healing it receives is 15% greater instead. These two benefits never operate simultaneously.</x:v>
      </x:c>
      <x:c r="I62" s="50" t="str">
        <x:v>No</x:v>
      </x:c>
      <x:c r="J62" s="50" t="str">
        <x:v>Simple</x:v>
      </x:c>
      <x:c r="K62" s="50" t="str">
        <x:v>Healing denial counters both stances. The threshold is not a second health bar and cannot change the result of a lethal hit retroactively.</x:v>
      </x:c>
      <x:c r="L62" s="50" t="str">
        <x:v>Retained kit</x:v>
      </x:c>
    </x:row>
    <x:row r="63" ht="72.5" customHeight="1">
      <x:c r="A63" s="49" t="n">
        <x:v>58</x:v>
      </x:c>
      <x:c r="B63" s="50" t="str">
        <x:v>Brontobug</x:v>
      </x:c>
      <x:c r="C63" s="51" t="str">
        <x:v>Fighter</x:v>
      </x:c>
      <x:c r="D63" s="51" t="str">
        <x:v>Strength-based</x:v>
      </x:c>
      <x:c r="E63" s="50" t="str">
        <x:v>Melee physical</x:v>
      </x:c>
      <x:c r="F63" s="50" t="str">
        <x:v>A drum-bodied fighter whose basic rhythm produces small protective pulses.</x:v>
      </x:c>
      <x:c r="G63" s="50" t="str">
        <x:v>Marching Beat</x:v>
      </x:c>
      <x:c r="H63" s="50" t="str">
        <x:v>Every third landed basic attack gives self a 3% H shield and the trainer a 2% H shield for 2s. One pulse per basic cycle; skills do not advance the count.</x:v>
      </x:c>
      <x:c r="I63" s="50" t="str">
        <x:v>No</x:v>
      </x:c>
      <x:c r="J63" s="50" t="str">
        <x:v>Simple</x:v>
      </x:c>
      <x:c r="K63" s="50" t="str">
        <x:v>Misses and control delay the third-hit pulse. Shield duration is short and identical pulse shields refresh rather than stack.</x:v>
      </x:c>
      <x:c r="L63" s="50" t="str">
        <x:v>Retained kit</x:v>
      </x:c>
    </x:row>
    <x:row r="64" ht="72.5" customHeight="1">
      <x:c r="A64" s="49" t="n">
        <x:v>59</x:v>
      </x:c>
      <x:c r="B64" s="50" t="str">
        <x:v>Mournmantle</x:v>
      </x:c>
      <x:c r="C64" s="51" t="str">
        <x:v>DPS</x:v>
      </x:c>
      <x:c r="D64" s="51" t="str">
        <x:v>Int-Based</x:v>
      </x:c>
      <x:c r="E64" s="50" t="str">
        <x:v>Ranged magical</x:v>
      </x:c>
      <x:c r="F64" s="50" t="str">
        <x:v>A grief-cloaked caster that finds opportunities in already-wounded enemies.</x:v>
      </x:c>
      <x:c r="G64" s="50" t="str">
        <x:v>Scent of Sorrow</x:v>
      </x:c>
      <x:c r="H64" s="50" t="str">
        <x:v>Deal 15% more magic damage to enemies below 50% HP. Against enemies above that threshold, signature hits reduce their healing received by 10% for 2s instead.</x:v>
      </x:c>
      <x:c r="I64" s="50" t="str">
        <x:v>No</x:v>
      </x:c>
      <x:c r="J64" s="50" t="str">
        <x:v>Simple</x:v>
      </x:c>
      <x:c r="K64" s="50" t="str">
        <x:v>Strong recovery can move the target out of the damage-bonus band. This kit applies a small anti-heal above the threshold, not an unavoidable execute.</x:v>
      </x:c>
      <x:c r="L64" s="50" t="str">
        <x:v>Retained kit</x:v>
      </x:c>
    </x:row>
    <x:row r="65" ht="85" customHeight="1">
      <x:c r="A65" s="49" t="n">
        <x:v>60</x:v>
      </x:c>
      <x:c r="B65" s="50" t="str">
        <x:v>Whistlepod</x:v>
      </x:c>
      <x:c r="C65" s="51" t="str">
        <x:v>Supp</x:v>
      </x:c>
      <x:c r="D65" s="51" t="str">
        <x:v>Dex-Based</x:v>
      </x:c>
      <x:c r="E65" s="50" t="str">
        <x:v>Ranged physical; seed-whistles use A</x:v>
      </x:c>
      <x:c r="F65" s="50" t="str">
        <x:v>A DEX-based tempo support with an optional MATK recovery branch.</x:v>
      </x:c>
      <x:c r="G65" s="50" t="str">
        <x:v>Keep the Beat</x:v>
      </x:c>
      <x:c r="H65" s="50" t="str">
        <x:v>Each landed basic attack grants one Beat, maximum 3. An ally-buffing or healing signature spends all Beats: add 0.3s per Beat to its timed buff, or +10% healing per Beat. Apply only one of those bonuses per cast.</x:v>
      </x:c>
      <x:c r="I65" s="50" t="str">
        <x:v>Yes</x:v>
      </x:c>
      <x:c r="J65" s="50" t="str">
        <x:v>Moderate</x:v>
      </x:c>
      <x:c r="K65" s="50" t="str">
        <x:v>Basic misses delay Beat generation. Attack-speed support does not accelerate active cooldowns; the healing build pays a real stat-split cost.</x:v>
      </x:c>
      <x:c r="L65" s="50" t="str">
        <x:v>Retained kit</x:v>
      </x:c>
    </x:row>
    <x:row r="66" ht="97.5" customHeight="1">
      <x:c r="A66" s="49" t="n">
        <x:v>61</x:v>
      </x:c>
      <x:c r="B66" s="50" t="str">
        <x:v>Moonweaver</x:v>
      </x:c>
      <x:c r="C66" s="51" t="str">
        <x:v>DPS / Supp</x:v>
      </x:c>
      <x:c r="D66" s="51" t="str">
        <x:v>Int-Based</x:v>
      </x:c>
      <x:c r="E66" s="50" t="str">
        <x:v>Ranged magical</x:v>
      </x:c>
      <x:c r="F66" s="50" t="str">
        <x:v>A silk caster whose destructible loom anchors a persistent damage-and-pressure-reduction zone.</x:v>
      </x:c>
      <x:c r="G66" s="50" t="str">
        <x:v>Lunar Loom</x:v>
      </x:c>
      <x:c r="H66" s="50" t="str">
        <x:v>Enemies carrying Moonweaver's Thread deal 12% less direct damage to currently shielded core allies. Thread lasts 3s and does not stack. Crescent Loom pulses may refresh Thread but do not create additional cast/on-hit events.</x:v>
      </x:c>
      <x:c r="I66" s="50" t="str">
        <x:v>No</x:v>
      </x:c>
      <x:c r="J66" s="50" t="str">
        <x:v>Moderate</x:v>
      </x:c>
      <x:c r="K66" s="50" t="str">
        <x:v>Breaking the anchor cancels future web damage; removing friendly shields switches off Thread's mitigation. Normal boss resistance can reduce tempo debuffs, but not delete the zone's ordinary damage.</x:v>
      </x:c>
      <x:c r="L66" s="50" t="str">
        <x:v>Summon / arena rework</x:v>
      </x:c>
    </x:row>
    <x:row r="67" ht="72.5" customHeight="1">
      <x:c r="A67" s="49" t="n">
        <x:v>62</x:v>
      </x:c>
      <x:c r="B67" s="50" t="str">
        <x:v>Pearlweaver</x:v>
      </x:c>
      <x:c r="C67" s="51" t="str">
        <x:v>DPS</x:v>
      </x:c>
      <x:c r="D67" s="51" t="str">
        <x:v>Dex-Based</x:v>
      </x:c>
      <x:c r="E67" s="50" t="str">
        <x:v>Ranged physical; silk-launched pearls, DEX sets A</x:v>
      </x:c>
      <x:c r="F67" s="50" t="str">
        <x:v>A pearl-bodied precision attacker whose failed crits sharpen the next opportunity.</x:v>
      </x:c>
      <x:c r="G67" s="50" t="str">
        <x:v>Polished Patience</x:v>
      </x:c>
      <x:c r="H67" s="50" t="str">
        <x:v>Each landed noncritical basic attack grants +4 percentage points of CRIT chance, up to +12. Any critical direct attack consumes the accumulated bonus after resolving; misses grant nothing.</x:v>
      </x:c>
      <x:c r="I67" s="50" t="str">
        <x:v>No</x:v>
      </x:c>
      <x:c r="J67" s="50" t="str">
        <x:v>Moderate</x:v>
      </x:c>
      <x:c r="K67" s="50" t="str">
        <x:v>Misses stall the passive, and crit resets the entire accumulated chance. The three-hit cast cannot roll three independent criticals.</x:v>
      </x:c>
      <x:c r="L67" s="50" t="str">
        <x:v>Retained kit</x:v>
      </x:c>
    </x:row>
    <x:row r="68" ht="85" customHeight="1">
      <x:c r="A68" s="49" t="n">
        <x:v>63</x:v>
      </x:c>
      <x:c r="B68" s="50" t="str">
        <x:v>Silkstep</x:v>
      </x:c>
      <x:c r="C68" s="51" t="str">
        <x:v>DPS</x:v>
      </x:c>
      <x:c r="D68" s="51" t="str">
        <x:v>Dex-Based</x:v>
      </x:c>
      <x:c r="E68" s="50" t="str">
        <x:v>Melee physical; DEX sets A</x:v>
      </x:c>
      <x:c r="F68" s="50" t="str">
        <x:v>A small skeletal duelist with brief basic-attack protection during target transitions.</x:v>
      </x:c>
      <x:c r="G68" s="50" t="str">
        <x:v>Threaded Entrance</x:v>
      </x:c>
      <x:c r="H68" s="50" t="str">
        <x:v>On initial normal target acquisition and after a death-based target switch, gain Shroud for 2s: evade the next eligible enemy basic attack, then consume Shroud. At most once every 3s; never triggered by taunt.</x:v>
      </x:c>
      <x:c r="I68" s="50" t="str">
        <x:v>No</x:v>
      </x:c>
      <x:c r="J68" s="50" t="str">
        <x:v>Simple</x:v>
      </x:c>
      <x:c r="K68" s="50" t="str">
        <x:v>Skills and magic bypass Shroud. It expires quickly and cannot be refreshed by artificial retargeting.</x:v>
      </x:c>
      <x:c r="L68" s="50" t="str">
        <x:v>Retained kit</x:v>
      </x:c>
    </x:row>
    <x:row r="69" ht="72.5" customHeight="1">
      <x:c r="A69" s="49" t="n">
        <x:v>64</x:v>
      </x:c>
      <x:c r="B69" s="50" t="str">
        <x:v>Grinroot</x:v>
      </x:c>
      <x:c r="C69" s="51" t="str">
        <x:v>Fighter / Supp</x:v>
      </x:c>
      <x:c r="D69" s="51" t="str">
        <x:v>Strength-based</x:v>
      </x:c>
      <x:c r="E69" s="50" t="str">
        <x:v>Melee physical</x:v>
      </x:c>
      <x:c r="F69" s="50" t="str">
        <x:v>A root-handed physical helper with an optional INT healer route.</x:v>
      </x:c>
      <x:c r="G69" s="50" t="str">
        <x:v>Helping Hands</x:v>
      </x:c>
      <x:c r="H69" s="50" t="str">
        <x:v>Every second landed basic attack grows one Sprout, maximum 2. An ally-directed heal or shield consumes all Sprouts for +15% amount per Sprout, once per cast.</x:v>
      </x:c>
      <x:c r="I69" s="50" t="str">
        <x:v>Yes</x:v>
      </x:c>
      <x:c r="J69" s="50" t="str">
        <x:v>Moderate</x:v>
      </x:c>
      <x:c r="K69" s="50" t="str">
        <x:v>Misses reduce Sprout generation. The healing route sacrifices physical damage; it should not get full STR output and full INT recovery for one stat.</x:v>
      </x:c>
      <x:c r="L69" s="50" t="str">
        <x:v>Retained kit</x:v>
      </x:c>
    </x:row>
    <x:row r="70" ht="122.5" customHeight="1">
      <x:c r="A70" s="49" t="n">
        <x:v>65</x:v>
      </x:c>
      <x:c r="B70" s="50" t="str">
        <x:v>Cloudfin</x:v>
      </x:c>
      <x:c r="C70" s="51" t="str">
        <x:v>Supp</x:v>
      </x:c>
      <x:c r="D70" s="51" t="str">
        <x:v>Int-Based</x:v>
      </x:c>
      <x:c r="E70" s="50" t="str">
        <x:v>Ranged magical</x:v>
      </x:c>
      <x:c r="F70" s="50" t="str">
        <x:v>An air-sac support that buys a brief healing window against one large hit per ally.</x:v>
      </x:c>
      <x:c r="G70" s="50" t="str">
        <x:v>Air Pocket</x:v>
      </x:c>
      <x:c r="H70" s="50" t="str">
        <x:v>Once per living ally per battle, when a direct enemy hit would remove at least 10% of that ally's max HP after mitigation and shields, delay 20% of the HP damage, capped at 0.80 M, for 1.5s. Delayed damage then removes HP directly, is not mitigated/redirected again, and persists if Cloudfin dies. Redirected damage is ineligible.</x:v>
      </x:c>
      <x:c r="I70" s="50" t="str">
        <x:v>No</x:v>
      </x:c>
      <x:c r="J70" s="50" t="str">
        <x:v>Advanced</x:v>
      </x:c>
      <x:c r="K70" s="50" t="str">
        <x:v>Delayed damage still arrives even if Cloudfin dies, and immediate damage can remain lethal. Needs explicit pending-damage UI and deterministic pre-lethal resolution.</x:v>
      </x:c>
      <x:c r="L70" s="50" t="str">
        <x:v>Retained kit</x:v>
      </x:c>
    </x:row>
    <x:row r="71" ht="72.5" customHeight="1">
      <x:c r="A71" s="49" t="n">
        <x:v>66</x:v>
      </x:c>
      <x:c r="B71" s="50" t="str">
        <x:v>Hexurchin</x:v>
      </x:c>
      <x:c r="C71" s="51" t="str">
        <x:v>Tank</x:v>
      </x:c>
      <x:c r="D71" s="51" t="str">
        <x:v>Strength-based</x:v>
      </x:c>
      <x:c r="E71" s="50" t="str">
        <x:v>Melee physical</x:v>
      </x:c>
      <x:c r="F71" s="50" t="str">
        <x:v>A faceted tank that is efficient against many smaller physical hits.</x:v>
      </x:c>
      <x:c r="G71" s="50" t="str">
        <x:v>Hexagonal Plates</x:v>
      </x:c>
      <x:c r="H71" s="50" t="str">
        <x:v>Reduce each direct physical hit by a flat 0.20 A after ordinary mitigation, capped at 20% of that hit's remaining damage. Never reduce damage below zero; does not affect magic or DoTs.</x:v>
      </x:c>
      <x:c r="I71" s="50" t="str">
        <x:v>No</x:v>
      </x:c>
      <x:c r="J71" s="50" t="str">
        <x:v>Simple</x:v>
      </x:c>
      <x:c r="K71" s="50" t="str">
        <x:v>Large hits reach the flat reduction's limit; magic and DoTs bypass it. Do not apply mitigation again to redirected damage.</x:v>
      </x:c>
      <x:c r="L71" s="50" t="str">
        <x:v>Retained kit</x:v>
      </x:c>
    </x:row>
    <x:row r="72" ht="85" customHeight="1">
      <x:c r="A72" s="49" t="n">
        <x:v>67</x:v>
      </x:c>
      <x:c r="B72" s="50" t="str">
        <x:v>Dewloop</x:v>
      </x:c>
      <x:c r="C72" s="51" t="str">
        <x:v>Supp</x:v>
      </x:c>
      <x:c r="D72" s="51" t="str">
        <x:v>Int-Based</x:v>
      </x:c>
      <x:c r="E72" s="50" t="str">
        <x:v>Ranged magical</x:v>
      </x:c>
      <x:c r="F72" s="50" t="str">
        <x:v>A circulating healer that sends a small ward to a different ally.</x:v>
      </x:c>
      <x:c r="G72" s="50" t="str">
        <x:v>Water Finds a Way</x:v>
      </x:c>
      <x:c r="H72" s="50" t="str">
        <x:v>After a single-target active restores HP, shield a different living ally with the lowest HP% for 0.35 M for 2s. One secondary shield per cast; no trigger on full overheal, team heals, or secondary procs.</x:v>
      </x:c>
      <x:c r="I72" s="50" t="str">
        <x:v>No</x:v>
      </x:c>
      <x:c r="J72" s="50" t="str">
        <x:v>Moderate</x:v>
      </x:c>
      <x:c r="K72" s="50" t="str">
        <x:v>The secondary shield may protect a unit not currently being hit. Focused burst on one ally can outpace its distributed value.</x:v>
      </x:c>
      <x:c r="L72" s="50" t="str">
        <x:v>Retained kit</x:v>
      </x:c>
    </x:row>
    <x:row r="73" ht="72.5" customHeight="1">
      <x:c r="A73" s="49" t="n">
        <x:v>68</x:v>
      </x:c>
      <x:c r="B73" s="50" t="str">
        <x:v>Driftjelly</x:v>
      </x:c>
      <x:c r="C73" s="51" t="str">
        <x:v>DPS / Supp</x:v>
      </x:c>
      <x:c r="D73" s="51" t="str">
        <x:v>Int-Based</x:v>
      </x:c>
      <x:c r="E73" s="50" t="str">
        <x:v>Ranged magical</x:v>
      </x:c>
      <x:c r="F73" s="50" t="str">
        <x:v>A numbing jelly caster that reduces critical pressure without hard crowd control.</x:v>
      </x:c>
      <x:c r="G73" s="50" t="str">
        <x:v>Numbing Film</x:v>
      </x:c>
      <x:c r="H73" s="50" t="str">
        <x:v>Damaging signatures apply Numb for 3s: reduce the target's CRIT chance by 10 percentage points. Does not affect noncritical damage; cannot lower chance below zero.</x:v>
      </x:c>
      <x:c r="I73" s="50" t="str">
        <x:v>No</x:v>
      </x:c>
      <x:c r="J73" s="50" t="str">
        <x:v>Simple</x:v>
      </x:c>
      <x:c r="K73" s="50" t="str">
        <x:v>Pure magic or low-crit teams lose little from Numb. It is not a stun, attack cancel, or universal damage reduction.</x:v>
      </x:c>
      <x:c r="L73" s="50" t="str">
        <x:v>Retained kit</x:v>
      </x:c>
    </x:row>
    <x:row r="74" ht="85" customHeight="1">
      <x:c r="A74" s="49" t="n">
        <x:v>69</x:v>
      </x:c>
      <x:c r="B74" s="50" t="str">
        <x:v>Snapglass</x:v>
      </x:c>
      <x:c r="C74" s="51" t="str">
        <x:v>DPS</x:v>
      </x:c>
      <x:c r="D74" s="51" t="str">
        <x:v>Strength-based</x:v>
      </x:c>
      <x:c r="E74" s="50" t="str">
        <x:v>Melee physical</x:v>
      </x:c>
      <x:c r="F74" s="50" t="str">
        <x:v>A huge-clawed shrimp with heavy basics and deliberate single-target burst.</x:v>
      </x:c>
      <x:c r="G74" s="50" t="str">
        <x:v>Oversized Claw</x:v>
      </x:c>
      <x:c r="H74" s="50" t="str">
        <x:v>Basic attacks deal 25% more damage, but their interval is 15% longer before other speed modifiers. Skills keep ordinary timings. Multi-hit basics still count as one attack cycle.</x:v>
      </x:c>
      <x:c r="I74" s="50" t="str">
        <x:v>No</x:v>
      </x:c>
      <x:c r="J74" s="50" t="str">
        <x:v>Simple</x:v>
      </x:c>
      <x:c r="K74" s="50" t="str">
        <x:v>Evading one big basic costs Snapglass more than it costs a fast attacker. Heavy physical mitigation remains a strong counter.</x:v>
      </x:c>
      <x:c r="L74" s="50" t="str">
        <x:v>Retained kit</x:v>
      </x:c>
    </x:row>
    <x:row r="75" ht="97.5" customHeight="1">
      <x:c r="A75" s="49" t="n">
        <x:v>70</x:v>
      </x:c>
      <x:c r="B75" s="50" t="str">
        <x:v>Kiteskulk</x:v>
      </x:c>
      <x:c r="C75" s="51" t="str">
        <x:v>DPS</x:v>
      </x:c>
      <x:c r="D75" s="51" t="str">
        <x:v>Int-Based</x:v>
      </x:c>
      <x:c r="E75" s="50" t="str">
        <x:v>Ranged magical</x:v>
      </x:c>
      <x:c r="F75" s="50" t="str">
        <x:v>A shroud caster that stores a bounded response to enemy healing.</x:v>
      </x:c>
      <x:c r="G75" s="50" t="str">
        <x:v>Unpaid Debt</x:v>
      </x:c>
      <x:c r="H75" s="50" t="str">
        <x:v>When the current normal target receives effective healing, store 20% of that healing as Haunt, capped at 0.90 M. Its next damaging signature consumes Haunt as extra magic damage. Clear unused Haunt when the normal target dies.</x:v>
      </x:c>
      <x:c r="I75" s="50" t="str">
        <x:v>No</x:v>
      </x:c>
      <x:c r="J75" s="50" t="str">
        <x:v>Moderate</x:v>
      </x:c>
      <x:c r="K75" s="50" t="str">
        <x:v>Preventing healing also reduces new Haunt, an intentional trade-off. Overhealing, shield gains, and healing on another enemy do not fill the bank.</x:v>
      </x:c>
      <x:c r="L75" s="50" t="str">
        <x:v>Retained kit</x:v>
      </x:c>
    </x:row>
    <x:row r="76" ht="72.5" customHeight="1">
      <x:c r="A76" s="49" t="n">
        <x:v>71</x:v>
      </x:c>
      <x:c r="B76" s="50" t="str">
        <x:v>Lotusmanta</x:v>
      </x:c>
      <x:c r="C76" s="51" t="str">
        <x:v>Supp</x:v>
      </x:c>
      <x:c r="D76" s="51" t="str">
        <x:v>Int-Based</x:v>
      </x:c>
      <x:c r="E76" s="50" t="str">
        <x:v>Ranged magical</x:v>
      </x:c>
      <x:c r="F76" s="50" t="str">
        <x:v>A petal-finned healer specialized in mitigating secondary splash damage.</x:v>
      </x:c>
      <x:c r="G76" s="50" t="str">
        <x:v>Lotus Shelter</x:v>
      </x:c>
      <x:c r="H76" s="50" t="str">
        <x:v>While Lotusmanta lives, allies take 20% less secondary/splash damage from enemy actives. The primary target's damage is unchanged; single-target attacks gain no reduction.</x:v>
      </x:c>
      <x:c r="I76" s="50" t="str">
        <x:v>No</x:v>
      </x:c>
      <x:c r="J76" s="50" t="str">
        <x:v>Simple</x:v>
      </x:c>
      <x:c r="K76" s="50" t="str">
        <x:v>Single-target focus largely bypasses the passive. Splash tagging must be explicit so full-strength single-target spells are not incorrectly discounted.</x:v>
      </x:c>
      <x:c r="L76" s="50" t="str">
        <x:v>Retained kit</x:v>
      </x:c>
    </x:row>
    <x:row r="77" ht="72.5" customHeight="1">
      <x:c r="A77" s="49" t="n">
        <x:v>72</x:v>
      </x:c>
      <x:c r="B77" s="50" t="str">
        <x:v>Mistmelt</x:v>
      </x:c>
      <x:c r="C77" s="51" t="str">
        <x:v>Fighter / Tank</x:v>
      </x:c>
      <x:c r="D77" s="51" t="str">
        <x:v>Strength-based</x:v>
      </x:c>
      <x:c r="E77" s="50" t="str">
        <x:v>Melee physical</x:v>
      </x:c>
      <x:c r="F77" s="50" t="str">
        <x:v>A physical mist bruiser with a clear resistance trade-off.</x:v>
      </x:c>
      <x:c r="G77" s="50" t="str">
        <x:v>Hollow Body</x:v>
      </x:c>
      <x:c r="H77" s="50" t="str">
        <x:v>Take 12% less direct physical damage but 10% more direct magic damage. DoTs are unchanged. The hollow silhouette is a mitigation rule, not movement or universal invulnerability.</x:v>
      </x:c>
      <x:c r="I77" s="50" t="str">
        <x:v>No</x:v>
      </x:c>
      <x:c r="J77" s="50" t="str">
        <x:v>Simple</x:v>
      </x:c>
      <x:c r="K77" s="50" t="str">
        <x:v>Magic burst before the hollow is closed is dangerous. Removing the shield restores the vulnerability immediately.</x:v>
      </x:c>
      <x:c r="L77" s="50" t="str">
        <x:v>Retained kit</x:v>
      </x:c>
    </x:row>
    <x:row r="78" ht="72.5" customHeight="1">
      <x:c r="A78" s="49" t="n">
        <x:v>73</x:v>
      </x:c>
      <x:c r="B78" s="50" t="str">
        <x:v>Cairnclamp</x:v>
      </x:c>
      <x:c r="C78" s="51" t="str">
        <x:v>Fighter / Tank</x:v>
      </x:c>
      <x:c r="D78" s="51" t="str">
        <x:v>Strength-based</x:v>
      </x:c>
      <x:c r="E78" s="50" t="str">
        <x:v>Melee physical</x:v>
      </x:c>
      <x:c r="F78" s="50" t="str">
        <x:v>A stone-arm wrestler that weakens its target's attacks against the trainer.</x:v>
      </x:c>
      <x:c r="G78" s="50" t="str">
        <x:v>Protective Grip</x:v>
      </x:c>
      <x:c r="H78" s="50" t="str">
        <x:v>A landed direct attack applies Grip for 1.5s: the target deals 12% less direct damage to the trainer, but receives no penalty when attacking Cairnclamp. Refreshing does not stack.</x:v>
      </x:c>
      <x:c r="I78" s="50" t="str">
        <x:v>No</x:v>
      </x:c>
      <x:c r="J78" s="50" t="str">
        <x:v>Simple</x:v>
      </x:c>
      <x:c r="K78" s="50" t="str">
        <x:v>Misses can create gaps in Grip. The mark reduces only this enemy's damage to the trainer and cannot suppress the whole opposing team.</x:v>
      </x:c>
      <x:c r="L78" s="50" t="str">
        <x:v>Retained kit</x:v>
      </x:c>
    </x:row>
    <x:row r="79" ht="85" customHeight="1">
      <x:c r="A79" s="49" t="n">
        <x:v>74</x:v>
      </x:c>
      <x:c r="B79" s="50" t="str">
        <x:v>Tideotter</x:v>
      </x:c>
      <x:c r="C79" s="51" t="str">
        <x:v>Fighter / Supp</x:v>
      </x:c>
      <x:c r="D79" s="51" t="str">
        <x:v>Strength-based</x:v>
      </x:c>
      <x:c r="E79" s="50" t="str">
        <x:v>Melee physical</x:v>
      </x:c>
      <x:c r="F79" s="50" t="str">
        <x:v>A paddle-fisted fighter with an optional MATK restorative branch.</x:v>
      </x:c>
      <x:c r="G79" s="50" t="str">
        <x:v>Pocket Droplets</x:v>
      </x:c>
      <x:c r="H79" s="50" t="str">
        <x:v>Every second landed basic attack grants one Droplet, maximum 2. The next damaging signature spends all Droplets for +0.20 A damage each; a healing signature instead adds +0.30 M healing each.</x:v>
      </x:c>
      <x:c r="I79" s="50" t="str">
        <x:v>Yes</x:v>
      </x:c>
      <x:c r="J79" s="50" t="str">
        <x:v>Moderate</x:v>
      </x:c>
      <x:c r="K79" s="50" t="str">
        <x:v>The damage signature competes directly with the restorative resource. Missing basics slows both builds; healing prevention punishes the MATK route.</x:v>
      </x:c>
      <x:c r="L79" s="50" t="str">
        <x:v>Retained kit</x:v>
      </x:c>
    </x:row>
    <x:row r="80" ht="85" customHeight="1">
      <x:c r="A80" s="49" t="n">
        <x:v>75</x:v>
      </x:c>
      <x:c r="B80" s="50" t="str">
        <x:v>Veilora</x:v>
      </x:c>
      <x:c r="C80" s="51" t="str">
        <x:v>DPS / Supp</x:v>
      </x:c>
      <x:c r="D80" s="51" t="str">
        <x:v>Int-Based</x:v>
      </x:c>
      <x:c r="E80" s="50" t="str">
        <x:v>Ranged magical</x:v>
      </x:c>
      <x:c r="F80" s="50" t="str">
        <x:v>A spectral veil that turns broken friendly wards into modest spell pressure.</x:v>
      </x:c>
      <x:c r="G80" s="50" t="str">
        <x:v>Frayed Mercy</x:v>
      </x:c>
      <x:c r="H80" s="50" t="str">
        <x:v>When a shield on any ally is fully broken by enemy damage, gain one Thread, maximum 2; 2s shared trigger cooldown. The next damaging signature consumes Threads for +0.25 M magic damage each.</x:v>
      </x:c>
      <x:c r="I80" s="50" t="str">
        <x:v>No</x:v>
      </x:c>
      <x:c r="J80" s="50" t="str">
        <x:v>Moderate</x:v>
      </x:c>
      <x:c r="K80" s="50" t="str">
        <x:v>Expiring or manually removed shields do not generate Threads. Multiple shields broken by one event still respect the shared cooldown.</x:v>
      </x:c>
      <x:c r="L80" s="50" t="str">
        <x:v>Retained kit</x:v>
      </x:c>
    </x:row>
    <x:row r="81" ht="60" customHeight="1">
      <x:c r="A81" s="49" t="n">
        <x:v>76</x:v>
      </x:c>
      <x:c r="B81" s="50" t="str">
        <x:v>Ashbasilisk</x:v>
      </x:c>
      <x:c r="C81" s="51" t="str">
        <x:v>DPS</x:v>
      </x:c>
      <x:c r="D81" s="51" t="str">
        <x:v>Strength-based</x:v>
      </x:c>
      <x:c r="E81" s="50" t="str">
        <x:v>Melee physical</x:v>
      </x:c>
      <x:c r="F81" s="50" t="str">
        <x:v>A fork-crested physical attacker with short calcification and a bounded petrifying interrupt.</x:v>
      </x:c>
      <x:c r="G81" s="50" t="str">
        <x:v>Calcifying Bite</x:v>
      </x:c>
      <x:c r="H81" s="50" t="str">
        <x:v>Critical direct physical attacks apply Calcify for 3s: reduce target FLEE by 20. One application per cast; repeated crits refresh duration.</x:v>
      </x:c>
      <x:c r="I81" s="50" t="str">
        <x:v>No</x:v>
      </x:c>
      <x:c r="J81" s="50" t="str">
        <x:v>Simple</x:v>
      </x:c>
      <x:c r="K81" s="50" t="str">
        <x:v>The interrupt is half a second, not a prolonged petrify. Control immunity and physical defense remain effective.</x:v>
      </x:c>
      <x:c r="L81" s="50" t="str">
        <x:v>Retained kit</x:v>
      </x:c>
    </x:row>
    <x:row r="82" ht="72.5" customHeight="1">
      <x:c r="A82" s="49" t="n">
        <x:v>77</x:v>
      </x:c>
      <x:c r="B82" s="50" t="str">
        <x:v>Slagbud</x:v>
      </x:c>
      <x:c r="C82" s="51" t="str">
        <x:v>Tank</x:v>
      </x:c>
      <x:c r="D82" s="51" t="str">
        <x:v>Strength-based</x:v>
      </x:c>
      <x:c r="E82" s="50" t="str">
        <x:v>Melee physical</x:v>
      </x:c>
      <x:c r="F82" s="50" t="str">
        <x:v>A basalt succulent specialized in turning prevented attrition into a small bark shield.</x:v>
      </x:c>
      <x:c r="G82" s="50" t="str">
        <x:v>Charred Leaves</x:v>
      </x:c>
      <x:c r="H82" s="50" t="str">
        <x:v>Take 25% less enemy DoT damage. Half of the damage prevented this way becomes a self-shield lasting 3s, capped at 5% H total. This shield never triggers Charred Leaves itself.</x:v>
      </x:c>
      <x:c r="I82" s="50" t="str">
        <x:v>No</x:v>
      </x:c>
      <x:c r="J82" s="50" t="str">
        <x:v>Simple</x:v>
      </x:c>
      <x:c r="K82" s="50" t="str">
        <x:v>Direct burst bypasses the passive. The bark shield has a hard total cap and cannot be farmed from self-inflicted damage.</x:v>
      </x:c>
      <x:c r="L82" s="50" t="str">
        <x:v>Retained kit</x:v>
      </x:c>
    </x:row>
    <x:row r="83" ht="97.5" customHeight="1">
      <x:c r="A83" s="49" t="n">
        <x:v>78</x:v>
      </x:c>
      <x:c r="B83" s="50" t="str">
        <x:v>Cinderempress</x:v>
      </x:c>
      <x:c r="C83" s="51" t="str">
        <x:v>Fighter</x:v>
      </x:c>
      <x:c r="D83" s="51" t="str">
        <x:v>Int-Based</x:v>
      </x:c>
      <x:c r="E83" s="50" t="str">
        <x:v>Melee magical; basics use M</x:v>
      </x:c>
      <x:c r="F83" s="50" t="str">
        <x:v>A melee INT sovereign that establishes a short-lived heated court around the current duel.</x:v>
      </x:c>
      <x:c r="G83" s="50" t="str">
        <x:v>Crown Heat</x:v>
      </x:c>
      <x:c r="H83" s="50" t="str">
        <x:v>Each personal active cast grants +4% MATK for 4s, maximum 12%; new casts refresh duration. Apply after the triggering cast resolves. Hearth pulses are not casts and never add Heat. The hearth snapshots M before the deployment cast's new stack.</x:v>
      </x:c>
      <x:c r="I83" s="50" t="str">
        <x:v>No</x:v>
      </x:c>
      <x:c r="J83" s="50" t="str">
        <x:v>Moderate</x:v>
      </x:c>
      <x:c r="K83" s="50" t="str">
        <x:v>The hearth cannot be destroyed directly but has a short fixed lifetime and vanishes with its owner. It grants no protection outside its radius and offers no ally-wide damage reduction. Target changes can leave the court behind.</x:v>
      </x:c>
      <x:c r="L83" s="50" t="str">
        <x:v>Summon / arena rework</x:v>
      </x:c>
    </x:row>
    <x:row r="84" ht="210" customHeight="1">
      <x:c r="A84" s="49" t="n">
        <x:v>79</x:v>
      </x:c>
      <x:c r="B84" s="50" t="str">
        <x:v>Ashskate</x:v>
      </x:c>
      <x:c r="C84" s="51" t="str">
        <x:v>DPS</x:v>
      </x:c>
      <x:c r="D84" s="51" t="str">
        <x:v>Int-Based</x:v>
      </x:c>
      <x:c r="E84" s="50" t="str">
        <x:v>Ranged magical; ash blades</x:v>
      </x:c>
      <x:c r="F84" s="50" t="str">
        <x:v>A blade-footed spell attacker that gains tempo when the first enemy monster falls.</x:v>
      </x:c>
      <x:c r="G84" s="50" t="str">
        <x:v>Carry the Spark</x:v>
      </x:c>
      <x:c r="H84" s="50" t="str">
        <x:v>Gain one Spark per personal damaging-active cast that lands on an eligible encounter enemy, maximum 3; multi-hit/AoE counts once. At 3 Sparks, reduce the remaining cooldown of the 4s slot by 1s. An eligible encounter-enemy death credited to the team can instead reduce it by 2s. All refunds share a 3s cooldown, reset Sparks when granted, affect no other slot, and cannot bank excess reduction. Death events during lockout are discarded; Spark count can wait at 3 until the next eligible personal cast. Start the casting slot's cooldown before applying a refund.</x:v>
      </x:c>
      <x:c r="I84" s="50" t="str">
        <x:v>No</x:v>
      </x:c>
      <x:c r="J84" s="50" t="str">
        <x:v>Simple</x:v>
      </x:c>
      <x:c r="K84" s="50" t="str">
        <x:v>A refund only shortens the fast slot and never stores credit while already ready. One AoE cast or simultaneous wave of deaths cannot grant multiple refunds; all delayed transfers stop when battle ends.</x:v>
      </x:c>
      <x:c r="L84" s="50" t="str">
        <x:v>Boss / group refinement</x:v>
      </x:c>
    </x:row>
    <x:row r="85" ht="85" customHeight="1">
      <x:c r="A85" s="49" t="n">
        <x:v>80</x:v>
      </x:c>
      <x:c r="B85" s="50" t="str">
        <x:v>Ribwhirl</x:v>
      </x:c>
      <x:c r="C85" s="51" t="str">
        <x:v>Fighter</x:v>
      </x:c>
      <x:c r="D85" s="51" t="str">
        <x:v>Int-Based</x:v>
      </x:c>
      <x:c r="E85" s="50" t="str">
        <x:v>Melee magical; basics use M</x:v>
      </x:c>
      <x:c r="F85" s="50" t="str">
        <x:v>A stationary wheel-like INT fighter alternating a stronger hit with a small bone ward.</x:v>
      </x:c>
      <x:c r="G85" s="50" t="str">
        <x:v>Skull and Rib</x:v>
      </x:c>
      <x:c r="H85" s="50" t="str">
        <x:v>Alternate basic cycles: Skull deals 1.15 times normal basic damage; Rib deals 0.85 times normal basic damage and grants a 0.25 M self-shield for 2s. Start on Skull. Skills do not advance the alternation.</x:v>
      </x:c>
      <x:c r="I85" s="50" t="str">
        <x:v>No</x:v>
      </x:c>
      <x:c r="J85" s="50" t="str">
        <x:v>Moderate</x:v>
      </x:c>
      <x:c r="K85" s="50" t="str">
        <x:v>Shield removal weakens both survival and the heavy cast. Alternating basic multipliers average to normal damage before shield value, not a hidden permanent damage increase.</x:v>
      </x:c>
      <x:c r="L85" s="50" t="str">
        <x:v>Retained kit</x:v>
      </x:c>
    </x:row>
    <x:row r="86" ht="85" customHeight="1">
      <x:c r="A86" s="49" t="n">
        <x:v>81</x:v>
      </x:c>
      <x:c r="B86" s="50" t="str">
        <x:v>Ferncoil</x:v>
      </x:c>
      <x:c r="C86" s="51" t="str">
        <x:v>DPS</x:v>
      </x:c>
      <x:c r="D86" s="51" t="str">
        <x:v>Dex-Based</x:v>
      </x:c>
      <x:c r="E86" s="50" t="str">
        <x:v>Melee physical; DEX sets A</x:v>
      </x:c>
      <x:c r="F86" s="50" t="str">
        <x:v>A coiled-frond DEX attacker that recovers some value after a missed basic hit.</x:v>
      </x:c>
      <x:c r="G86" s="50" t="str">
        <x:v>Elastic Recoil</x:v>
      </x:c>
      <x:c r="H86" s="50" t="str">
        <x:v>After a basic attack misses, gain Recoil: the next basic has +40 HIT and, if it lands, +0.25 A physical damage. One charge maximum; the empowered basic cannot generate a new Recoil if it also misses.</x:v>
      </x:c>
      <x:c r="I86" s="50" t="str">
        <x:v>No</x:v>
      </x:c>
      <x:c r="J86" s="50" t="str">
        <x:v>Simple</x:v>
      </x:c>
      <x:c r="K86" s="50" t="str">
        <x:v>A compensated miss cannot chain into infinite retries. Magic bypasses the evasion plan, and high armor still reduces its physical damage.</x:v>
      </x:c>
      <x:c r="L86" s="50" t="str">
        <x:v>Retained kit</x:v>
      </x:c>
    </x:row>
    <x:row r="87" ht="72.5" customHeight="1">
      <x:c r="A87" s="49" t="n">
        <x:v>82</x:v>
      </x:c>
      <x:c r="B87" s="50" t="str">
        <x:v>Ironback</x:v>
      </x:c>
      <x:c r="C87" s="51" t="str">
        <x:v>Tank</x:v>
      </x:c>
      <x:c r="D87" s="51" t="str">
        <x:v>Strength-based</x:v>
      </x:c>
      <x:c r="E87" s="50" t="str">
        <x:v>Melee physical</x:v>
      </x:c>
      <x:c r="F87" s="50" t="str">
        <x:v>A disciplined shell tank that blocks spaced impacts rather than every hit.</x:v>
      </x:c>
      <x:c r="G87" s="50" t="str">
        <x:v>Tilted Carapace</x:v>
      </x:c>
      <x:c r="H87" s="50" t="str">
        <x:v>The first direct enemy hit received reduces its damage by 30%, then puts this block on a 3s cooldown. Shields do not prevent the cooldown from being consumed.</x:v>
      </x:c>
      <x:c r="I87" s="50" t="str">
        <x:v>No</x:v>
      </x:c>
      <x:c r="J87" s="50" t="str">
        <x:v>Simple</x:v>
      </x:c>
      <x:c r="K87" s="50" t="str">
        <x:v>A weak hit can consume the block before a large one. Frequent multi-source damage exploits the 3s cooldown.</x:v>
      </x:c>
      <x:c r="L87" s="50" t="str">
        <x:v>Retained kit</x:v>
      </x:c>
    </x:row>
    <x:row r="88" ht="85" customHeight="1">
      <x:c r="A88" s="49" t="n">
        <x:v>83</x:v>
      </x:c>
      <x:c r="B88" s="50" t="str">
        <x:v>Moltencoil</x:v>
      </x:c>
      <x:c r="C88" s="51" t="str">
        <x:v>Fighter</x:v>
      </x:c>
      <x:c r="D88" s="51" t="str">
        <x:v>Dex-Based</x:v>
      </x:c>
      <x:c r="E88" s="50" t="str">
        <x:v>Melee physical; DEX sets A</x:v>
      </x:c>
      <x:c r="F88" s="50" t="str">
        <x:v>A slag-ringed DEX fighter whose broken self-shield primes a precise response.</x:v>
      </x:c>
      <x:c r="G88" s="50" t="str">
        <x:v>Cast-Off Ring</x:v>
      </x:c>
      <x:c r="H88" s="50" t="str">
        <x:v>When enemy damage fully breaks Moltencoil's self-shield, its next basic attack within 3s is guaranteed to crit if it hits. One charge maximum; 2s trigger cooldown. Shield expiry or removal does not trigger it.</x:v>
      </x:c>
      <x:c r="I88" s="50" t="str">
        <x:v>No</x:v>
      </x:c>
      <x:c r="J88" s="50" t="str">
        <x:v>Moderate</x:v>
      </x:c>
      <x:c r="K88" s="50" t="str">
        <x:v>The guaranteed crit can still miss. Shields that simply expire do not generate free charges.</x:v>
      </x:c>
      <x:c r="L88" s="50" t="str">
        <x:v>Retained kit</x:v>
      </x:c>
    </x:row>
    <x:row r="89" ht="72.5" customHeight="1">
      <x:c r="A89" s="49" t="n">
        <x:v>84</x:v>
      </x:c>
      <x:c r="B89" s="50" t="str">
        <x:v>Steamaxolotl</x:v>
      </x:c>
      <x:c r="C89" s="51" t="str">
        <x:v>Supp</x:v>
      </x:c>
      <x:c r="D89" s="51" t="str">
        <x:v>Int-Based</x:v>
      </x:c>
      <x:c r="E89" s="50" t="str">
        <x:v>Ranged magical</x:v>
      </x:c>
      <x:c r="F89" s="50" t="str">
        <x:v>A feathery-gilled cleanser that rewards removing real debuffs, not empty cleanse casts.</x:v>
      </x:c>
      <x:c r="G89" s="50" t="str">
        <x:v>Clean Steam</x:v>
      </x:c>
      <x:c r="H89" s="50" t="str">
        <x:v>Successfully removing a harmful effect from an ally gives that ally a 0.35 M shield for 3s. One shield per target per cast; 2s cooldown per ally. No trigger when nothing is removed.</x:v>
      </x:c>
      <x:c r="I89" s="50" t="str">
        <x:v>No</x:v>
      </x:c>
      <x:c r="J89" s="50" t="str">
        <x:v>Simple</x:v>
      </x:c>
      <x:c r="K89" s="50" t="str">
        <x:v>Unremovable effects cannot be cleansed or farm shield value. Silencing Steamaxolotl itself can prevent active cleansing until the silence ends.</x:v>
      </x:c>
      <x:c r="L89" s="50" t="str">
        <x:v>Retained kit</x:v>
      </x:c>
    </x:row>
    <x:row r="90" ht="85" customHeight="1">
      <x:c r="A90" s="49" t="n">
        <x:v>85</x:v>
      </x:c>
      <x:c r="B90" s="50" t="str">
        <x:v>Tidecrown</x:v>
      </x:c>
      <x:c r="C90" s="51" t="str">
        <x:v>Tank / Supp</x:v>
      </x:c>
      <x:c r="D90" s="51" t="str">
        <x:v>Int-Based</x:v>
      </x:c>
      <x:c r="E90" s="50" t="str">
        <x:v>Ranged magical; water lances</x:v>
      </x:c>
      <x:c r="F90" s="50" t="str">
        <x:v>A water-crowned tank/support that shares trainer damage only while it can safely do so.</x:v>
      </x:c>
      <x:c r="G90" s="50" t="str">
        <x:v>Bearer of the Crown</x:v>
      </x:c>
      <x:c r="H90" s="50" t="str">
        <x:v>While Tidecrown is above 50% HP, divert 15% of trainer direct HP damage to Tidecrown. Stop immediately at or below 50% HP. Use the global single-interceptor rule; transferred damage is not mitigated twice.</x:v>
      </x:c>
      <x:c r="I90" s="50" t="str">
        <x:v>No</x:v>
      </x:c>
      <x:c r="J90" s="50" t="str">
        <x:v>Moderate</x:v>
      </x:c>
      <x:c r="K90" s="50" t="str">
        <x:v>Pressure on Tidecrown can switch the passive off. Damage transferred through the passive bypasses a second round of shields, armor, and redirect effects.</x:v>
      </x:c>
      <x:c r="L90" s="50" t="str">
        <x:v>Retained kit</x:v>
      </x:c>
    </x:row>
    <x:row r="91" ht="85" customHeight="1">
      <x:c r="A91" s="49" t="n">
        <x:v>86</x:v>
      </x:c>
      <x:c r="B91" s="50" t="str">
        <x:v>Elderroot</x:v>
      </x:c>
      <x:c r="C91" s="51" t="str">
        <x:v>Tank</x:v>
      </x:c>
      <x:c r="D91" s="51" t="str">
        <x:v>Strength-based</x:v>
      </x:c>
      <x:c r="E91" s="50" t="str">
        <x:v>Melee physical</x:v>
      </x:c>
      <x:c r="F91" s="50" t="str">
        <x:v>An ancient frontline tree that can raise two short-lived sapling wardens to share direct pressure.</x:v>
      </x:c>
      <x:c r="G91" s="50" t="str">
        <x:v>Old Growth</x:v>
      </x:c>
      <x:c r="H91" s="50" t="str">
        <x:v>Receive 10% more healing. Convert 50% of overhealing received into a self-shield for 3s, capped at 8% H. Summons do not inherit this passive; healing a sapling does not produce an Elderroot shield.</x:v>
      </x:c>
      <x:c r="I91" s="50" t="str">
        <x:v>No</x:v>
      </x:c>
      <x:c r="J91" s="50" t="str">
        <x:v>Moderate</x:v>
      </x:c>
      <x:c r="K91" s="50" t="str">
        <x:v>The wardens stand where planted, never run behind enemies, and cannot body-block paths. Area attacks can destroy both without being intercepted. Existing enemy target locks do not change when the trees appear.</x:v>
      </x:c>
      <x:c r="L91" s="50" t="str">
        <x:v>Summon / arena rework</x:v>
      </x:c>
    </x:row>
    <x:row r="92" ht="135" customHeight="1">
      <x:c r="A92" s="49" t="n">
        <x:v>87</x:v>
      </x:c>
      <x:c r="B92" s="50" t="str">
        <x:v>Emberorchid</x:v>
      </x:c>
      <x:c r="C92" s="51" t="str">
        <x:v>DPS</x:v>
      </x:c>
      <x:c r="D92" s="51" t="str">
        <x:v>Int-Based</x:v>
      </x:c>
      <x:c r="E92" s="50" t="str">
        <x:v>Ranged magical</x:v>
      </x:c>
      <x:c r="F92" s="50" t="str">
        <x:v>A magical flower choosing between focused seed-turret pressure and immediate petal splash.</x:v>
      </x:c>
      <x:c r="G92" s="50" t="str">
        <x:v>Ignition Pollen</x:v>
      </x:c>
      <x:c r="H92" s="50" t="str">
        <x:v>Each of Emberorchid's own damaging signatures adds one Pollen to its primary enemy for 5s. At 3 Pollen, consume them to deal 0.60 M magic damage and reduce healing received by 20% for 2s. A Bloomjaw turret adds one Pollen on its first landed shot of each deployment only; later shots and secondary splash add none. Proc damage adds none.</x:v>
      </x:c>
      <x:c r="I92" s="50" t="str">
        <x:v>No</x:v>
      </x:c>
      <x:c r="J92" s="50" t="str">
        <x:v>Moderate</x:v>
      </x:c>
      <x:c r="K92" s="50" t="str">
        <x:v>The turret is not a second Emberorchid: fixed six-shot budget, no inherited skills or ASPD, and one Pollen application total. Owner death stops future shots. Empty splash slots do not concentrate on a boss.</x:v>
      </x:c>
      <x:c r="L92" s="50" t="str">
        <x:v>Summon / arena rework</x:v>
      </x:c>
    </x:row>
    <x:row r="93" ht="110" customHeight="1">
      <x:c r="A93" s="49" t="n">
        <x:v>88</x:v>
      </x:c>
      <x:c r="B93" s="50" t="str">
        <x:v>Glowcap</x:v>
      </x:c>
      <x:c r="C93" s="51" t="str">
        <x:v>Supp</x:v>
      </x:c>
      <x:c r="D93" s="51" t="str">
        <x:v>Int-Based</x:v>
      </x:c>
      <x:c r="E93" s="50" t="str">
        <x:v>Ranged magical</x:v>
      </x:c>
      <x:c r="F93" s="50" t="str">
        <x:v>A mushroom healer that grows one destructible nightlight cap for sustained local recovery.</x:v>
      </x:c>
      <x:c r="G93" s="50" t="str">
        <x:v>Little Nightlight</x:v>
      </x:c>
      <x:c r="H93" s="50" t="str">
        <x:v>Glowseed's target receives a 0.25 M shield until its delayed heal resolves. A new Nightlight Cap grants a 0.25 M shield for 2s to each core ally initially in its radius. Same-name Nightlight shields refresh rather than add. Later Cap pulses do not repeatedly trigger the passive.</x:v>
      </x:c>
      <x:c r="I93" s="50" t="str">
        <x:v>No</x:v>
      </x:c>
      <x:c r="J93" s="50" t="str">
        <x:v>Moderate</x:v>
      </x:c>
      <x:c r="K93" s="50" t="str">
        <x:v>Healing pulses share one budget across core allies and never target summoned creatures. Breaking the Cap cancels future recovery. Mushroom Dawn is not resurrection and cannot heal a trainer after terminal damage.</x:v>
      </x:c>
      <x:c r="L93" s="50" t="str">
        <x:v>Summon / arena rework</x:v>
      </x:c>
    </x:row>
    <x:row r="94" ht="72.5" customHeight="1">
      <x:c r="A94" s="49" t="n">
        <x:v>89</x:v>
      </x:c>
      <x:c r="B94" s="50" t="str">
        <x:v>Marigloom</x:v>
      </x:c>
      <x:c r="C94" s="51" t="str">
        <x:v>Supp</x:v>
      </x:c>
      <x:c r="D94" s="51" t="str">
        <x:v>Int-Based</x:v>
      </x:c>
      <x:c r="E94" s="50" t="str">
        <x:v>Ranged magical</x:v>
      </x:c>
      <x:c r="F94" s="50" t="str">
        <x:v>An ivory-petaled emergency healer that removes healing denial before its largest recovery.</x:v>
      </x:c>
      <x:c r="G94" s="50" t="str">
        <x:v>Bloom in Sorrow</x:v>
      </x:c>
      <x:c r="H94" s="50" t="str">
        <x:v>Direct heals on allies at 40% HP or lower are 25% stronger. Check HP before the heal; secondary proc heals do not receive this bonus again.</x:v>
      </x:c>
      <x:c r="I94" s="50" t="str">
        <x:v>No</x:v>
      </x:c>
      <x:c r="J94" s="50" t="str">
        <x:v>Simple</x:v>
      </x:c>
      <x:c r="K94" s="50" t="str">
        <x:v>The emergency bonus cannot reverse lethal damage. Deliberately keeping the trainer low is not a safe strategy; pre-hit mitigation still matters.</x:v>
      </x:c>
      <x:c r="L94" s="50" t="str">
        <x:v>Retained kit</x:v>
      </x:c>
    </x:row>
    <x:row r="95" ht="97.5" customHeight="1">
      <x:c r="A95" s="49" t="n">
        <x:v>90</x:v>
      </x:c>
      <x:c r="B95" s="50" t="str">
        <x:v>Mossling</x:v>
      </x:c>
      <x:c r="C95" s="51" t="str">
        <x:v>Tank / Supp</x:v>
      </x:c>
      <x:c r="D95" s="51" t="str">
        <x:v>Strength-based</x:v>
      </x:c>
      <x:c r="E95" s="50" t="str">
        <x:v>Melee physical</x:v>
      </x:c>
      <x:c r="F95" s="50" t="str">
        <x:v>A moss-bowl tank that grows support resources from damage, with an optional INT healing route.</x:v>
      </x:c>
      <x:c r="G95" s="50" t="str">
        <x:v>Patchwork Garden</x:v>
      </x:c>
      <x:c r="H95" s="50" t="str">
        <x:v>Each cumulative 10% H lost to enemy HP damage grows one Seedling, maximum 3; at most one per damage event. Moss Patch or Head Garden spends all Seedlings for its listed bonus. Self-costs and redirected damage do not grow seedlings.</x:v>
      </x:c>
      <x:c r="I95" s="50" t="str">
        <x:v>Yes</x:v>
      </x:c>
      <x:c r="J95" s="50" t="str">
        <x:v>Moderate</x:v>
      </x:c>
      <x:c r="K95" s="50" t="str">
        <x:v>Shields prevent HP loss and therefore slow Seedling growth. The heal bonus is awarded once to one ally, not tripled across the party.</x:v>
      </x:c>
      <x:c r="L95" s="50" t="str">
        <x:v>Retained kit</x:v>
      </x:c>
    </x:row>
    <x:row r="96" ht="85" customHeight="1">
      <x:c r="A96" s="49" t="n">
        <x:v>91</x:v>
      </x:c>
      <x:c r="B96" s="50" t="str">
        <x:v>Skycorolla</x:v>
      </x:c>
      <x:c r="C96" s="51" t="str">
        <x:v>DPS</x:v>
      </x:c>
      <x:c r="D96" s="51" t="str">
        <x:v>Int-Based</x:v>
      </x:c>
      <x:c r="E96" s="50" t="str">
        <x:v>Ranged magical</x:v>
      </x:c>
      <x:c r="F96" s="50" t="str">
        <x:v>A pinwheel-petaled caster that gains crosswind from physical focus fire.</x:v>
      </x:c>
      <x:c r="G96" s="50" t="str">
        <x:v>Cross-Pollination</x:v>
      </x:c>
      <x:c r="H96" s="50" t="str">
        <x:v>When another ally lands a direct physical hit on Skycorolla's normal target, gain one Crosswind, maximum 2; shared 1s gain cooldown. A damaging signature spends them for +0.20 M magic damage each.</x:v>
      </x:c>
      <x:c r="I96" s="50" t="str">
        <x:v>No</x:v>
      </x:c>
      <x:c r="J96" s="50" t="str">
        <x:v>Moderate</x:v>
      </x:c>
      <x:c r="K96" s="50" t="str">
        <x:v>All-magic teams and split targeting provide few Crosswinds. Triggered bonus damage, reflections, and multi-hit sub-events cannot multiply resource generation.</x:v>
      </x:c>
      <x:c r="L96" s="50" t="str">
        <x:v>Boss / group refinement</x:v>
      </x:c>
    </x:row>
    <x:row r="97" ht="97.5" customHeight="1">
      <x:c r="A97" s="49" t="n">
        <x:v>92</x:v>
      </x:c>
      <x:c r="B97" s="50" t="str">
        <x:v>Ambercolossus</x:v>
      </x:c>
      <x:c r="C97" s="51" t="str">
        <x:v>Tank</x:v>
      </x:c>
      <x:c r="D97" s="51" t="str">
        <x:v>Strength-based</x:v>
      </x:c>
      <x:c r="E97" s="50" t="str">
        <x:v>Melee physical</x:v>
      </x:c>
      <x:c r="F97" s="50" t="str">
        <x:v>A massive core guardian with a capped response to unusually large hits.</x:v>
      </x:c>
      <x:c r="G97" s="50" t="str">
        <x:v>Protected Core</x:v>
      </x:c>
      <x:c r="H97" s="50" t="str">
        <x:v>Once every 3s, when direct enemy HP damage after ordinary mitigation and shields exceeds 8% H, prevent the excess above 8% H, but prevent no more than 6% H. A sufficiently large hit can still be lethal; redirected damage is ineligible.</x:v>
      </x:c>
      <x:c r="I97" s="50" t="str">
        <x:v>No</x:v>
      </x:c>
      <x:c r="J97" s="50" t="str">
        <x:v>Advanced</x:v>
      </x:c>
      <x:c r="K97" s="50" t="str">
        <x:v>Many small hits bypass the threshold and a huge hit exceeds the prevention cap. It is not a universal per-hit HP lock.</x:v>
      </x:c>
      <x:c r="L97" s="50" t="str">
        <x:v>Retained kit</x:v>
      </x:c>
    </x:row>
    <x:row r="98" ht="85" customHeight="1">
      <x:c r="A98" s="49" t="n">
        <x:v>93</x:v>
      </x:c>
      <x:c r="B98" s="50" t="str">
        <x:v>Bloomslime</x:v>
      </x:c>
      <x:c r="C98" s="51" t="str">
        <x:v>Tank / Supp</x:v>
      </x:c>
      <x:c r="D98" s="51" t="str">
        <x:v>Int-Based</x:v>
      </x:c>
      <x:c r="E98" s="50" t="str">
        <x:v>Ranged magical; short bud pulses</x:v>
      </x:c>
      <x:c r="F98" s="50" t="str">
        <x:v>A flower-bud tank/support with one personal-health-triggered team recovery.</x:v>
      </x:c>
      <x:c r="G98" s="50" t="str">
        <x:v>Emergency Bloom</x:v>
      </x:c>
      <x:c r="H98" s="50" t="str">
        <x:v>Once per battle, after surviving an enemy hit that leaves Bloomslime below 50% HP, heal both other living allies for 0.80 M and self for 5% H. It does not trigger after a lethal hit or revive a dead trainer.</x:v>
      </x:c>
      <x:c r="I98" s="50" t="str">
        <x:v>No</x:v>
      </x:c>
      <x:c r="J98" s="50" t="str">
        <x:v>Moderate</x:v>
      </x:c>
      <x:c r="K98" s="50" t="str">
        <x:v>Burst that kills Bloomslime bypasses Emergency Bloom entirely. Healing above and then below the threshold does not refresh the one-time trigger.</x:v>
      </x:c>
      <x:c r="L98" s="50" t="str">
        <x:v>Retained kit</x:v>
      </x:c>
    </x:row>
    <x:row r="99" ht="110" customHeight="1">
      <x:c r="A99" s="49" t="n">
        <x:v>94</x:v>
      </x:c>
      <x:c r="B99" s="50" t="str">
        <x:v>Echochime</x:v>
      </x:c>
      <x:c r="C99" s="51" t="str">
        <x:v>Supp</x:v>
      </x:c>
      <x:c r="D99" s="51" t="str">
        <x:v>Int-Based</x:v>
      </x:c>
      <x:c r="E99" s="50" t="str">
        <x:v>Ranged magical</x:v>
      </x:c>
      <x:c r="F99" s="50" t="str">
        <x:v>A bell support that echoes a limited primary effect of its trainer's latest active.</x:v>
      </x:c>
      <x:c r="G99" s="50" t="str">
        <x:v>Remember the Note</x:v>
      </x:c>
      <x:c r="H99" s="50" t="str">
        <x:v>Record the trainer's latest eligible active's primary direct damage, heal, or shield base amount and category for 3s. Record pre-crit, pre-mitigation values; exclude HP%-target damage, executes, control, summons, cooldown changes, buffs, and triggered/echoed effects. Only one record exists.</x:v>
      </x:c>
      <x:c r="I99" s="50" t="str">
        <x:v>No</x:v>
      </x:c>
      <x:c r="J99" s="50" t="str">
        <x:v>Advanced</x:v>
      </x:c>
      <x:c r="K99" s="50" t="str">
        <x:v>No echo-of-echo, status copying, cooldown reset, or copied resurrection. Note replacement and the 3s window must be visible in the UI; this is an advanced prototype kit.</x:v>
      </x:c>
      <x:c r="L99" s="50" t="str">
        <x:v>Retained kit</x:v>
      </x:c>
    </x:row>
    <x:row r="100" ht="110" customHeight="1">
      <x:c r="A100" s="49" t="n">
        <x:v>95</x:v>
      </x:c>
      <x:c r="B100" s="50" t="str">
        <x:v>Inksprite</x:v>
      </x:c>
      <x:c r="C100" s="51" t="str">
        <x:v>DPS</x:v>
      </x:c>
      <x:c r="D100" s="51" t="str">
        <x:v>Dex-Based</x:v>
      </x:c>
      <x:c r="E100" s="50" t="str">
        <x:v>Ranged physical; DEX sets A</x:v>
      </x:c>
      <x:c r="F100" s="50" t="str">
        <x:v>A DEX ink attacker that can trade some burst for a narrow, destructible basic-attack decoy.</x:v>
      </x:c>
      <x:c r="G100" s="50" t="str">
        <x:v>Smudged Advantage</x:v>
      </x:c>
      <x:c r="H100" s="50" t="str">
        <x:v>Deal 12% more direct physical damage to enemies affected by a HIT-reducing debuff. The debuff may come from any source. An Ink Double never inherits this passive or the owner's attacks.</x:v>
      </x:c>
      <x:c r="I100" s="50" t="str">
        <x:v>No</x:v>
      </x:c>
      <x:c r="J100" s="50" t="str">
        <x:v>Advanced</x:v>
      </x:c>
      <x:c r="K100" s="50" t="str">
        <x:v>The lure only changes one future basic attack, not active targeting or the normal target lock. A boss can be explicitly lure-immune; in that case no basic is diverted and no hidden fallback stun is granted. Summon expiry/death cannot farm Fresh Page-style procs.</x:v>
      </x:c>
      <x:c r="L100" s="50" t="str">
        <x:v>Summon / arena rework</x:v>
      </x:c>
    </x:row>
    <x:row r="101" ht="85" customHeight="1">
      <x:c r="A101" s="49" t="n">
        <x:v>96</x:v>
      </x:c>
      <x:c r="B101" s="50" t="str">
        <x:v>Cairnkin</x:v>
      </x:c>
      <x:c r="C101" s="51" t="str">
        <x:v>Tank</x:v>
      </x:c>
      <x:c r="D101" s="51" t="str">
        <x:v>Strength-based</x:v>
      </x:c>
      <x:c r="E101" s="50" t="str">
        <x:v>Melee physical</x:v>
      </x:c>
      <x:c r="F101" s="50" t="str">
        <x:v>A jawbone guardian that provides one rallying defense when the other monster falls.</x:v>
      </x:c>
      <x:c r="G101" s="50" t="str">
        <x:v>Still Watching</x:v>
      </x:c>
      <x:c r="H101" s="50" t="str">
        <x:v>Once per battle, when the other allied monster dies, shield the living trainer for 10% H for 4s and give Cairnkin 15% damage reduction for 3s. Trainer death ends combat first and cannot trigger a rescue.</x:v>
      </x:c>
      <x:c r="I101" s="50" t="str">
        <x:v>No</x:v>
      </x:c>
      <x:c r="J101" s="50" t="str">
        <x:v>Simple</x:v>
      </x:c>
      <x:c r="K101" s="50" t="str">
        <x:v>The death trigger is once-only and requires Cairnkin alive. Its value must be tested against the permanent loss of the other monster's damage.</x:v>
      </x:c>
      <x:c r="L101" s="50" t="str">
        <x:v>Retained kit</x:v>
      </x:c>
    </x:row>
    <x:row r="102" ht="72.5" customHeight="1">
      <x:c r="A102" s="49" t="n">
        <x:v>97</x:v>
      </x:c>
      <x:c r="B102" s="50" t="str">
        <x:v>Casketot</x:v>
      </x:c>
      <x:c r="C102" s="51" t="str">
        <x:v>Tank</x:v>
      </x:c>
      <x:c r="D102" s="51" t="str">
        <x:v>Int-Based</x:v>
      </x:c>
      <x:c r="E102" s="50" t="str">
        <x:v>Ranged magical; spectral hands</x:v>
      </x:c>
      <x:c r="F102" s="50" t="str">
        <x:v>A small coffin tank specialized in softening hostile magic.</x:v>
      </x:c>
      <x:c r="G102" s="50" t="str">
        <x:v>Soul Lining</x:v>
      </x:c>
      <x:c r="H102" s="50" t="str">
        <x:v>Take 15% less direct magic damage. The first enemy magical active that hits Casketot each battle also gives the trainer a 0.65 M shield for 3s, provided the trainer is still alive.</x:v>
      </x:c>
      <x:c r="I102" s="50" t="str">
        <x:v>No</x:v>
      </x:c>
      <x:c r="J102" s="50" t="str">
        <x:v>Simple</x:v>
      </x:c>
      <x:c r="K102" s="50" t="str">
        <x:v>Physical attacks bypass Soul Lining. A magical hit can still kill the trainer before a later triggered shield would help; no retroactive rescue.</x:v>
      </x:c>
      <x:c r="L102" s="50" t="str">
        <x:v>Retained kit</x:v>
      </x:c>
    </x:row>
    <x:row r="103" ht="85" customHeight="1">
      <x:c r="A103" s="49" t="n">
        <x:v>98</x:v>
      </x:c>
      <x:c r="B103" s="50" t="str">
        <x:v>Kilncoil</x:v>
      </x:c>
      <x:c r="C103" s="51" t="str">
        <x:v>Fighter</x:v>
      </x:c>
      <x:c r="D103" s="51" t="str">
        <x:v>Strength-based</x:v>
      </x:c>
      <x:c r="E103" s="50" t="str">
        <x:v>Melee physical</x:v>
      </x:c>
      <x:c r="F103" s="50" t="str">
        <x:v>A plate-backed duelist that adapts to one attacker at a time.</x:v>
      </x:c>
      <x:c r="G103" s="50" t="str">
        <x:v>Overlapping Plates</x:v>
      </x:c>
      <x:c r="H103" s="50" t="str">
        <x:v>After a direct hit, remember its source for 2s. Subsequent direct hits from that same source deal 12% less damage. A direct hit from a different enemy replaces the remembered source; redirected damage does not change it.</x:v>
      </x:c>
      <x:c r="I103" s="50" t="str">
        <x:v>No</x:v>
      </x:c>
      <x:c r="J103" s="50" t="str">
        <x:v>Simple</x:v>
      </x:c>
      <x:c r="K103" s="50" t="str">
        <x:v>Alternating damage sources repeatedly replace the remembered attacker. It is less effective as the sole target of all three enemies.</x:v>
      </x:c>
      <x:c r="L103" s="50" t="str">
        <x:v>Retained kit</x:v>
      </x:c>
    </x:row>
    <x:row r="104" ht="147.5" customHeight="1">
      <x:c r="A104" s="49" t="n">
        <x:v>99</x:v>
      </x:c>
      <x:c r="B104" s="50" t="str">
        <x:v>Maskin</x:v>
      </x:c>
      <x:c r="C104" s="51" t="str">
        <x:v>DPS / Supp</x:v>
      </x:c>
      <x:c r="D104" s="51" t="str">
        <x:v>Int-Based</x:v>
      </x:c>
      <x:c r="E104" s="50" t="str">
        <x:v>Ranged magical; central mask remains the core unit</x:v>
      </x:c>
      <x:c r="F104" s="50" t="str">
        <x:v>A three-spirit mask that commits its two detachable spirits to offense or core-ally protection.</x:v>
      </x:c>
      <x:c r="G104" s="50" t="str">
        <x:v>Three Little Voices</x:v>
      </x:c>
      <x:c r="H104" s="50" t="str">
        <x:v>Every third personal active cast adds 0.40 M to its declared primary direct damage, heal, or shield. Deployment-only casts still advance the count; if a deployment is the third cast, its bonus instead shields the trainer for 0.40 M for 3s once. Spirit actions never advance the count. One central spirit always carries the mask; at most two other spirits can be detached.</x:v>
      </x:c>
      <x:c r="I104" s="50" t="str">
        <x:v>No</x:v>
      </x:c>
      <x:c r="J104" s="50" t="str">
        <x:v>Advanced</x:v>
      </x:c>
      <x:c r="K104" s="50" t="str">
        <x:v>The two variants share one detached-spirit cap. Each spirit has a fixed owner-snapshotted job and dies to ordinary damage; destruction does not damage the main mask or trigger ally-death passives. No summon recasts, replication, or extra active slots.</x:v>
      </x:c>
      <x:c r="L104" s="50" t="str">
        <x:v>Summon / arena rework</x:v>
      </x:c>
    </x:row>
    <x:row r="105" ht="85" customHeight="1">
      <x:c r="A105" s="49" t="n">
        <x:v>100</x:v>
      </x:c>
      <x:c r="B105" s="50" t="str">
        <x:v>Shellsnail</x:v>
      </x:c>
      <x:c r="C105" s="51" t="str">
        <x:v>Fighter</x:v>
      </x:c>
      <x:c r="D105" s="51" t="str">
        <x:v>Strength-based</x:v>
      </x:c>
      <x:c r="E105" s="50" t="str">
        <x:v>Melee physical</x:v>
      </x:c>
      <x:c r="F105" s="50" t="str">
        <x:v>A backward-shelled fighter that resists critical pressure and returns one loaded strike.</x:v>
      </x:c>
      <x:c r="G105" s="50" t="str">
        <x:v>Backward Spiral</x:v>
      </x:c>
      <x:c r="H105" s="50" t="str">
        <x:v>Take 20% less damage from direct critical hits. After surviving one, gain one Coil for 3s; the next damaging active spends it for +0.35 A physical damage. One Coil maximum; 2s gain cooldown.</x:v>
      </x:c>
      <x:c r="I105" s="50" t="str">
        <x:v>No</x:v>
      </x:c>
      <x:c r="J105" s="50" t="str">
        <x:v>Simple</x:v>
      </x:c>
      <x:c r="K105" s="50" t="str">
        <x:v>Noncritical magic and DoTs bypass the crit specialty. A Coil expires after 3s, so it cannot be banked indefinitely for a future heavy cast.</x:v>
      </x:c>
      <x:c r="L105" s="50" t="str">
        <x:v>Retained kit</x:v>
      </x:c>
    </x:row>
  </x:sheetData>
  <x:mergeCells>
    <x:mergeCell ref="A1:K2"/>
    <x:mergeCell ref="A3:K3"/>
  </x:mergeCells>
  <x:conditionalFormatting sqref="I6:I105">
    <x:cfRule type="expression" dxfId="0" priority="1">
      <x:formula>$I6="Yes"</x:formula>
    </x:cfRule>
  </x:conditionalFormatting>
  <x:conditionalFormatting sqref="J6:J105">
    <x:cfRule type="expression" dxfId="1" priority="2">
      <x:formula>$J6="Advanced"</x:formula>
    </x:cfRule>
  </x:conditionalFormatting>
  <x:pageMargins left="0.7" right="0.7" top="0.75" bottom="0.75" header="0.3" footer="0.3"/>
  <x:tableParts count="1">
    <x:tablePart xmlns:r="http://schemas.openxmlformats.org/officeDocument/2006/relationships" r:id="Rd82c43e7a81b47d3"/>
  </x:tableParts>
</x:worksheet>
</file>

<file path=xl/worksheets/sheet3.xml><?xml version="1.0" encoding="utf-8"?>
<x:worksheet xmlns:x="http://schemas.openxmlformats.org/spreadsheetml/2006/main">
  <x:sheetFormatPr defaultRowHeight="15"/>
  <x:cols>
    <x:col min="1" max="1" width="7" hidden="0" customWidth="1"/>
    <x:col min="2" max="2" width="18" hidden="0" customWidth="1"/>
    <x:col min="3" max="3" width="12" hidden="0" customWidth="1"/>
    <x:col min="4" max="4" width="25" hidden="0" customWidth="1"/>
    <x:col min="5" max="5" width="40" hidden="0" customWidth="1"/>
    <x:col min="6" max="6" width="40" hidden="0" customWidth="1"/>
  </x:cols>
  <x:sheetData>
    <x:row r="1" ht="19" customHeight="1">
      <x:c r="A1" s="61" t="str">
        <x:v>HUNTARIA  |  SIGNATURE MOVES  ·  v2</x:v>
      </x:c>
      <x:c r="B1" s="61"/>
      <x:c r="C1" s="61"/>
      <x:c r="D1" s="61"/>
      <x:c r="E1" s="61"/>
      <x:c r="F1" s="61"/>
    </x:row>
    <x:row r="2" ht="19" customHeight="1">
      <x:c r="A2" s="61"/>
      <x:c r="B2" s="61"/>
      <x:c r="C2" s="61"/>
      <x:c r="D2" s="61"/>
      <x:c r="E2" s="61"/>
      <x:c r="F2" s="61"/>
    </x:row>
    <x:row r="3" ht="30" customHeight="1">
      <x:c r="A3" s="50" t="str">
        <x:v>304 signature options; exactly three actives equipped. 4 / 8 / 12 seconds remain proposed tiers, not confirmed engine limits.</x:v>
      </x:c>
      <x:c r="B3" s="50"/>
      <x:c r="C3" s="50"/>
      <x:c r="D3" s="50"/>
      <x:c r="E3" s="50"/>
      <x:c r="F3" s="50"/>
    </x:row>
    <x:row r="4" ht="9" customHeight="1">
      <x:c r="A4" s="4"/>
      <x:c r="B4" s="4"/>
      <x:c r="C4" s="4"/>
      <x:c r="D4" s="4"/>
      <x:c r="E4" s="4"/>
      <x:c r="F4" s="4"/>
    </x:row>
    <x:row r="5" ht="32" customHeight="1">
      <x:c r="A5" s="56" t="str">
        <x:v>Species ID</x:v>
      </x:c>
      <x:c r="B5" s="56" t="str">
        <x:v>Species</x:v>
      </x:c>
      <x:c r="C5" s="56" t="str">
        <x:v>Slot / CD (s)</x:v>
      </x:c>
      <x:c r="D5" s="56" t="str">
        <x:v>Signature move</x:v>
      </x:c>
      <x:c r="E5" s="56" t="str">
        <x:v>Effect / scaling</x:v>
      </x:c>
      <x:c r="F5" s="56" t="str">
        <x:v>Automatic cast condition</x:v>
      </x:c>
    </x:row>
    <x:row r="6" ht="47.5" customHeight="1">
      <x:c r="A6" s="49" t="n">
        <x:v>1</x:v>
      </x:c>
      <x:c r="B6" s="50" t="str">
        <x:v>Tuskettle</x:v>
      </x:c>
      <x:c r="C6" s="49" t="n">
        <x:v>4</x:v>
      </x:c>
      <x:c r="D6" s="50" t="str">
        <x:v>Tusk Tuck</x:v>
      </x:c>
      <x:c r="E6" s="50" t="str">
        <x:v>Deal 1.30 A physical damage. If self-shielded, add 0.35 A; otherwise gain a 3% H self-shield for 3s.</x:v>
      </x:c>
      <x:c r="F6" s="50" t="str">
        <x:v>Cast on the current legal target; no additional condition.</x:v>
      </x:c>
    </x:row>
    <x:row r="7" ht="47.5" customHeight="1">
      <x:c r="A7" s="49" t="n">
        <x:v>1</x:v>
      </x:c>
      <x:c r="B7" s="50" t="str">
        <x:v>Tuskettle</x:v>
      </x:c>
      <x:c r="C7" s="49" t="n">
        <x:v>8</x:v>
      </x:c>
      <x:c r="D7" s="50" t="str">
        <x:v>Cup the Flame</x:v>
      </x:c>
      <x:c r="E7" s="50" t="str">
        <x:v>Give the trainer an 8% H shield for 3s. While it lasts, Tuskettle receives 15% less direct damage.</x:v>
      </x:c>
      <x:c r="F7" s="50" t="str">
        <x:v>Cast when the trainer is being targeted or is at 75% HP or lower.</x:v>
      </x:c>
    </x:row>
    <x:row r="8" ht="38" customHeight="1">
      <x:c r="A8" s="49" t="n">
        <x:v>1</x:v>
      </x:c>
      <x:c r="B8" s="50" t="str">
        <x:v>Tuskettle</x:v>
      </x:c>
      <x:c r="C8" s="49" t="n">
        <x:v>12</x:v>
      </x:c>
      <x:c r="D8" s="50" t="str">
        <x:v>Acorn Bunker</x:v>
      </x:c>
      <x:c r="E8" s="50" t="str">
        <x:v>Gain a 16% H shield for 4s and taunt reachable enemies for 2s.</x:v>
      </x:c>
      <x:c r="F8" s="50" t="str">
        <x:v>Cast while targeted and self-shield is below 5% H.</x:v>
      </x:c>
    </x:row>
    <x:row r="9" ht="60" customHeight="1">
      <x:c r="A9" s="49" t="n">
        <x:v>2</x:v>
      </x:c>
      <x:c r="B9" s="50" t="str">
        <x:v>Wickeep</x:v>
      </x:c>
      <x:c r="C9" s="49" t="n">
        <x:v>4</x:v>
      </x:c>
      <x:c r="D9" s="50" t="str">
        <x:v>Waxpin</x:v>
      </x:c>
      <x:c r="E9" s="50" t="str">
        <x:v>Deal 1.25 A physical damage and mark the target for 3s. Wickeep's next basic hit consumes the mark for +0.40 A physical damage.</x:v>
      </x:c>
      <x:c r="F9" s="50" t="str">
        <x:v>Cast on the current legal target; no additional condition.</x:v>
      </x:c>
    </x:row>
    <x:row r="10" ht="47.5" customHeight="1">
      <x:c r="A10" s="49" t="n">
        <x:v>2</x:v>
      </x:c>
      <x:c r="B10" s="50" t="str">
        <x:v>Wickeep</x:v>
      </x:c>
      <x:c r="C10" s="49" t="n">
        <x:v>8</x:v>
      </x:c>
      <x:c r="D10" s="50" t="str">
        <x:v>Cupped Ember</x:v>
      </x:c>
      <x:c r="E10" s="50" t="str">
        <x:v>Shield the trainer for 0.90 A for 3s; Wickeep gains +20 HIT for the same duration.</x:v>
      </x:c>
      <x:c r="F10" s="50" t="str">
        <x:v>Cast when the trainer is targeted or at 70% HP or lower.</x:v>
      </x:c>
    </x:row>
    <x:row r="11" ht="72.5" customHeight="1">
      <x:c r="A11" s="49" t="n">
        <x:v>2</x:v>
      </x:c>
      <x:c r="B11" s="50" t="str">
        <x:v>Wickeep</x:v>
      </x:c>
      <x:c r="C11" s="49" t="n">
        <x:v>12</x:v>
      </x:c>
      <x:c r="D11" s="50" t="str">
        <x:v>Last Light Volley</x:v>
      </x:c>
      <x:c r="E11" s="50" t="str">
        <x:v>Deal four wax-dart hits totaling 3.00 A physical damage. Below 60% trainer HP, total damage becomes 3.60 A; never deliberately reduce trainer HP to trigger it.</x:v>
      </x:c>
      <x:c r="F11" s="50" t="str">
        <x:v>Cast on the current legal target; no additional condition.</x:v>
      </x:c>
    </x:row>
    <x:row r="12" ht="47.5" customHeight="1">
      <x:c r="A12" s="49" t="n">
        <x:v>3</x:v>
      </x:c>
      <x:c r="B12" s="50" t="str">
        <x:v>Lunaskein</x:v>
      </x:c>
      <x:c r="C12" s="49" t="n">
        <x:v>4</x:v>
      </x:c>
      <x:c r="D12" s="50" t="str">
        <x:v>Crescent Cut</x:v>
      </x:c>
      <x:c r="E12" s="50" t="str">
        <x:v>Deal 1.35 M magic damage and reduce the target's damage dealt by 8% for 2s.</x:v>
      </x:c>
      <x:c r="F12" s="50" t="str">
        <x:v>Cast on the current legal target; no additional condition.</x:v>
      </x:c>
    </x:row>
    <x:row r="13" ht="38" customHeight="1">
      <x:c r="A13" s="49" t="n">
        <x:v>3</x:v>
      </x:c>
      <x:c r="B13" s="50" t="str">
        <x:v>Lunaskein</x:v>
      </x:c>
      <x:c r="C13" s="49" t="n">
        <x:v>8</x:v>
      </x:c>
      <x:c r="D13" s="50" t="str">
        <x:v>Moon Hem</x:v>
      </x:c>
      <x:c r="E13" s="50" t="str">
        <x:v>Heal the lowest-HP% ally for 1.10 M and give it a 0.35 M shield for 3s.</x:v>
      </x:c>
      <x:c r="F13" s="50" t="str">
        <x:v>Cast when an ally is at 80% HP or lower; prioritize trainer below 55%.</x:v>
      </x:c>
    </x:row>
    <x:row r="14" ht="72.5" customHeight="1">
      <x:c r="A14" s="49" t="n">
        <x:v>3</x:v>
      </x:c>
      <x:c r="B14" s="50" t="str">
        <x:v>Lunaskein</x:v>
      </x:c>
      <x:c r="C14" s="49" t="n">
        <x:v>12</x:v>
      </x:c>
      <x:c r="D14" s="50" t="str">
        <x:v>Eclipse Ribbon</x:v>
      </x:c>
      <x:c r="E14" s="50" t="str">
        <x:v>Deal 2.30 M magic damage to the current target and shield the lowest-HP% ally for 0.80 M for 3s. Counts as a damaging signature for the passive, not both.</x:v>
      </x:c>
      <x:c r="F14" s="50" t="str">
        <x:v>Cast on the current legal target; no additional condition.</x:v>
      </x:c>
    </x:row>
    <x:row r="15" ht="47.5" customHeight="1">
      <x:c r="A15" s="49" t="n">
        <x:v>4</x:v>
      </x:c>
      <x:c r="B15" s="50" t="str">
        <x:v>Slagjaw</x:v>
      </x:c>
      <x:c r="C15" s="49" t="n">
        <x:v>4</x:v>
      </x:c>
      <x:c r="D15" s="50" t="str">
        <x:v>Basalt Bite</x:v>
      </x:c>
      <x:c r="E15" s="50" t="str">
        <x:v>Deal 1.20 A physical damage and reduce the target's physical mitigation by 5 percentage points for 3s.</x:v>
      </x:c>
      <x:c r="F15" s="50" t="str">
        <x:v>Cast on the current legal target; no additional condition.</x:v>
      </x:c>
    </x:row>
    <x:row r="16" ht="60" customHeight="1">
      <x:c r="A16" s="49" t="n">
        <x:v>4</x:v>
      </x:c>
      <x:c r="B16" s="50" t="str">
        <x:v>Slagjaw</x:v>
      </x:c>
      <x:c r="C16" s="49" t="n">
        <x:v>8</x:v>
      </x:c>
      <x:c r="D16" s="50" t="str">
        <x:v>Clamped Maw</x:v>
      </x:c>
      <x:c r="E16" s="50" t="str">
        <x:v>Deal 1.50 A physical damage; the target's next active hit within 3s deals 20% less damage. Does not affect healing or shielding.</x:v>
      </x:c>
      <x:c r="F16" s="50" t="str">
        <x:v>Cast on the current legal target; no additional condition.</x:v>
      </x:c>
    </x:row>
    <x:row r="17" ht="47.5" customHeight="1">
      <x:c r="A17" s="49" t="n">
        <x:v>4</x:v>
      </x:c>
      <x:c r="B17" s="50" t="str">
        <x:v>Slagjaw</x:v>
      </x:c>
      <x:c r="C17" s="49" t="n">
        <x:v>12</x:v>
      </x:c>
      <x:c r="D17" s="50" t="str">
        <x:v>Pillar Brace</x:v>
      </x:c>
      <x:c r="E17" s="50" t="str">
        <x:v>Gain a 14% H shield for 4s and redirect 25% of trainer direct damage to Slagjaw for 3s.</x:v>
      </x:c>
      <x:c r="F17" s="50" t="str">
        <x:v>Cast while Slagjaw is above 40% HP and the trainer is targeted, or Slagjaw is below 65% HP.</x:v>
      </x:c>
    </x:row>
    <x:row r="18" ht="38" customHeight="1">
      <x:c r="A18" s="49" t="n">
        <x:v>5</x:v>
      </x:c>
      <x:c r="B18" s="50" t="str">
        <x:v>Bellowsnout</x:v>
      </x:c>
      <x:c r="C18" s="49" t="n">
        <x:v>4</x:v>
      </x:c>
      <x:c r="D18" s="50" t="str">
        <x:v>Snout Piston</x:v>
      </x:c>
      <x:c r="E18" s="50" t="str">
        <x:v>Deal 1.35 A physical damage. Gain one Pressure after the damage resolves.</x:v>
      </x:c>
      <x:c r="F18" s="50" t="str">
        <x:v>Cast on the current legal target; no additional condition.</x:v>
      </x:c>
    </x:row>
    <x:row r="19" ht="47.5" customHeight="1">
      <x:c r="A19" s="49" t="n">
        <x:v>5</x:v>
      </x:c>
      <x:c r="B19" s="50" t="str">
        <x:v>Bellowsnout</x:v>
      </x:c>
      <x:c r="C19" s="49" t="n">
        <x:v>8</x:v>
      </x:c>
      <x:c r="D19" s="50" t="str">
        <x:v>Deep Intake</x:v>
      </x:c>
      <x:c r="E19" s="50" t="str">
        <x:v>Gain a 7% H shield for 3s and immediately reach 2 Pressure.</x:v>
      </x:c>
      <x:c r="F19" s="50" t="str">
        <x:v>Cast when below 2 Pressure and being targeted, or when no damaging active is currently ready.</x:v>
      </x:c>
    </x:row>
    <x:row r="20" ht="60" customHeight="1">
      <x:c r="A20" s="49" t="n">
        <x:v>5</x:v>
      </x:c>
      <x:c r="B20" s="50" t="str">
        <x:v>Bellowsnout</x:v>
      </x:c>
      <x:c r="C20" s="49" t="n">
        <x:v>12</x:v>
      </x:c>
      <x:c r="D20" s="50" t="str">
        <x:v>Boiler Bellow</x:v>
      </x:c>
      <x:c r="E20" s="50" t="str">
        <x:v>Deal 2.50 A physical damage and interrupt the target for 0.4s. Pressure adds damage normally; it does not lengthen the interrupt.</x:v>
      </x:c>
      <x:c r="F20" s="50" t="str">
        <x:v>Cast on the current legal target; no additional condition.</x:v>
      </x:c>
    </x:row>
    <x:row r="21" ht="47.5" customHeight="1">
      <x:c r="A21" s="49" t="n">
        <x:v>6</x:v>
      </x:c>
      <x:c r="B21" s="50" t="str">
        <x:v>Dreamtapir</x:v>
      </x:c>
      <x:c r="C21" s="49" t="n">
        <x:v>4</x:v>
      </x:c>
      <x:c r="D21" s="50" t="str">
        <x:v>Drowsy Bubble</x:v>
      </x:c>
      <x:c r="E21" s="50" t="str">
        <x:v>Deal 1.10 M magic damage and apply Drowsy for 3s: the target's next damaging active deals 15% less damage.</x:v>
      </x:c>
      <x:c r="F21" s="50" t="str">
        <x:v>Cast on the current legal target; no additional condition.</x:v>
      </x:c>
    </x:row>
    <x:row r="22" ht="47.5" customHeight="1">
      <x:c r="A22" s="49" t="n">
        <x:v>6</x:v>
      </x:c>
      <x:c r="B22" s="50" t="str">
        <x:v>Dreamtapir</x:v>
      </x:c>
      <x:c r="C22" s="49" t="n">
        <x:v>8</x:v>
      </x:c>
      <x:c r="D22" s="50" t="str">
        <x:v>Pillow Pocket</x:v>
      </x:c>
      <x:c r="E22" s="50" t="str">
        <x:v>Give the lowest-HP% ally a 1.00 M shield for 3s. If any enemy is Drowsy, increase this shield by 25%.</x:v>
      </x:c>
      <x:c r="F22" s="50" t="str">
        <x:v>Cast when an ally is targeted or at 80% HP or lower.</x:v>
      </x:c>
    </x:row>
    <x:row r="23" ht="60" customHeight="1">
      <x:c r="A23" s="49" t="n">
        <x:v>6</x:v>
      </x:c>
      <x:c r="B23" s="50" t="str">
        <x:v>Dreamtapir</x:v>
      </x:c>
      <x:c r="C23" s="49" t="n">
        <x:v>12</x:v>
      </x:c>
      <x:c r="D23" s="50" t="str">
        <x:v>Nightmare Feast</x:v>
      </x:c>
      <x:c r="E23" s="50" t="str">
        <x:v>Deal 2.80 M magic damage; if the target is Drowsy, heal the lowest-HP% ally for 0.90 M. Does not consume Drowsy itself.</x:v>
      </x:c>
      <x:c r="F23" s="50" t="str">
        <x:v>Cast on the current legal target; no additional condition.</x:v>
      </x:c>
    </x:row>
    <x:row r="24" ht="38" customHeight="1">
      <x:c r="A24" s="49" t="n">
        <x:v>7</x:v>
      </x:c>
      <x:c r="B24" s="50" t="str">
        <x:v>Inkmarten</x:v>
      </x:c>
      <x:c r="C24" s="49" t="n">
        <x:v>4</x:v>
      </x:c>
      <x:c r="D24" s="50" t="str">
        <x:v>Brushbite</x:v>
      </x:c>
      <x:c r="E24" s="50" t="str">
        <x:v>Deal 1.40 A physical damage; gain +15 FLEE for 2s.</x:v>
      </x:c>
      <x:c r="F24" s="50" t="str">
        <x:v>Cast on the current legal target; no additional condition.</x:v>
      </x:c>
    </x:row>
    <x:row r="25" ht="60" customHeight="1">
      <x:c r="A25" s="49" t="n">
        <x:v>7</x:v>
      </x:c>
      <x:c r="B25" s="50" t="str">
        <x:v>Inkmarten</x:v>
      </x:c>
      <x:c r="C25" s="49" t="n">
        <x:v>8</x:v>
      </x:c>
      <x:c r="D25" s="50" t="str">
        <x:v>Black Margin</x:v>
      </x:c>
      <x:c r="E25" s="50" t="str">
        <x:v>Deal 1.60 A physical damage and leave an ink mark for 3s; Inkmarten ignores 8 percentage points of the marked target's physical mitigation.</x:v>
      </x:c>
      <x:c r="F25" s="50" t="str">
        <x:v>Cast on the current legal target; no additional condition.</x:v>
      </x:c>
    </x:row>
    <x:row r="26" ht="47.5" customHeight="1">
      <x:c r="A26" s="49" t="n">
        <x:v>7</x:v>
      </x:c>
      <x:c r="B26" s="50" t="str">
        <x:v>Inkmarten</x:v>
      </x:c>
      <x:c r="C26" s="49" t="n">
        <x:v>12</x:v>
      </x:c>
      <x:c r="D26" s="50" t="str">
        <x:v>Final Stroke</x:v>
      </x:c>
      <x:c r="E26" s="50" t="str">
        <x:v>Deal 2.60 A physical damage, increased to 3.40 A if the target is below 35% HP. No instant-kill effect.</x:v>
      </x:c>
      <x:c r="F26" s="50" t="str">
        <x:v>Cast on the current legal target; no additional condition.</x:v>
      </x:c>
    </x:row>
    <x:row r="27" ht="47.5" customHeight="1">
      <x:c r="A27" s="49" t="n">
        <x:v>8</x:v>
      </x:c>
      <x:c r="B27" s="50" t="str">
        <x:v>Brimble</x:v>
      </x:c>
      <x:c r="C27" s="49" t="n">
        <x:v>4</x:v>
      </x:c>
      <x:c r="D27" s="50" t="str">
        <x:v>Spade Flick</x:v>
      </x:c>
      <x:c r="E27" s="50" t="str">
        <x:v>Deal 1.35 A physical damage; if below 70% HP, also gain a 3% H self-shield for 2s.</x:v>
      </x:c>
      <x:c r="F27" s="50" t="str">
        <x:v>Cast on the current legal target; no additional condition.</x:v>
      </x:c>
    </x:row>
    <x:row r="28" ht="38" customHeight="1">
      <x:c r="A28" s="49" t="n">
        <x:v>8</x:v>
      </x:c>
      <x:c r="B28" s="50" t="str">
        <x:v>Brimble</x:v>
      </x:c>
      <x:c r="C28" s="49" t="n">
        <x:v>8</x:v>
      </x:c>
      <x:c r="D28" s="50" t="str">
        <x:v>Blanket Curl</x:v>
      </x:c>
      <x:c r="E28" s="50" t="str">
        <x:v>Heal self for 8% H and gain 10% damage reduction for 2s.</x:v>
      </x:c>
      <x:c r="F28" s="50" t="str">
        <x:v>Cast at 75% HP or lower.</x:v>
      </x:c>
    </x:row>
    <x:row r="29" ht="60" customHeight="1">
      <x:c r="A29" s="49" t="n">
        <x:v>8</x:v>
      </x:c>
      <x:c r="B29" s="50" t="str">
        <x:v>Brimble</x:v>
      </x:c>
      <x:c r="C29" s="49" t="n">
        <x:v>12</x:v>
      </x:c>
      <x:c r="D29" s="50" t="str">
        <x:v>Imp's Reprisal</x:v>
      </x:c>
      <x:c r="E29" s="50" t="str">
        <x:v>Deal 2.40 A physical damage plus physical damage equal to 30% of self HP lost during the previous 2s, capped at 0.80 A.</x:v>
      </x:c>
      <x:c r="F29" s="50" t="str">
        <x:v>Cast on the current legal target; no additional condition.</x:v>
      </x:c>
    </x:row>
    <x:row r="30" ht="38" customHeight="1">
      <x:c r="A30" s="49" t="n">
        <x:v>9</x:v>
      </x:c>
      <x:c r="B30" s="50" t="str">
        <x:v>Cinderknuckle</x:v>
      </x:c>
      <x:c r="C30" s="49" t="n">
        <x:v>4</x:v>
      </x:c>
      <x:c r="D30" s="50" t="str">
        <x:v>Coal Jab</x:v>
      </x:c>
      <x:c r="E30" s="50" t="str">
        <x:v>Deal 1.40 M magic damage at melee reach.</x:v>
      </x:c>
      <x:c r="F30" s="50" t="str">
        <x:v>Cast on the current legal target; no additional condition.</x:v>
      </x:c>
    </x:row>
    <x:row r="31" ht="38" customHeight="1">
      <x:c r="A31" s="49" t="n">
        <x:v>9</x:v>
      </x:c>
      <x:c r="B31" s="50" t="str">
        <x:v>Cinderknuckle</x:v>
      </x:c>
      <x:c r="C31" s="49" t="n">
        <x:v>8</x:v>
      </x:c>
      <x:c r="D31" s="50" t="str">
        <x:v>Kiln Stance</x:v>
      </x:c>
      <x:c r="E31" s="50" t="str">
        <x:v>Gain a shield equal to 0.80 M + 4% H for 3s, and gain 2 Heat.</x:v>
      </x:c>
      <x:c r="F31" s="50" t="str">
        <x:v>Cast while targeted and with fewer than 2 Heat, or at 65% HP or lower.</x:v>
      </x:c>
    </x:row>
    <x:row r="32" ht="47.5" customHeight="1">
      <x:c r="A32" s="49" t="n">
        <x:v>9</x:v>
      </x:c>
      <x:c r="B32" s="50" t="str">
        <x:v>Cinderknuckle</x:v>
      </x:c>
      <x:c r="C32" s="49" t="n">
        <x:v>12</x:v>
      </x:c>
      <x:c r="D32" s="50" t="str">
        <x:v>Furnace Uppercut</x:v>
      </x:c>
      <x:c r="E32" s="50" t="str">
        <x:v>Deal 2.90 M magic damage and reduce the target's magic mitigation by 6 percentage points for 3s.</x:v>
      </x:c>
      <x:c r="F32" s="50" t="str">
        <x:v>Cast on the current legal target; no additional condition.</x:v>
      </x:c>
    </x:row>
    <x:row r="33" ht="47.5" customHeight="1">
      <x:c r="A33" s="49" t="n">
        <x:v>10</x:v>
      </x:c>
      <x:c r="B33" s="50" t="str">
        <x:v>Fluffyak</x:v>
      </x:c>
      <x:c r="C33" s="49" t="n">
        <x:v>4</x:v>
      </x:c>
      <x:c r="D33" s="50" t="str">
        <x:v>Woolhorn</x:v>
      </x:c>
      <x:c r="E33" s="50" t="str">
        <x:v>Deal 1.20 A physical damage and reduce the target's basic-attack damage by 12% for 2s.</x:v>
      </x:c>
      <x:c r="F33" s="50" t="str">
        <x:v>Cast on the current legal target; no additional condition.</x:v>
      </x:c>
    </x:row>
    <x:row r="34" ht="38" customHeight="1">
      <x:c r="A34" s="49" t="n">
        <x:v>10</x:v>
      </x:c>
      <x:c r="B34" s="50" t="str">
        <x:v>Fluffyak</x:v>
      </x:c>
      <x:c r="C34" s="49" t="n">
        <x:v>8</x:v>
      </x:c>
      <x:c r="D34" s="50" t="str">
        <x:v>Fleece Wrap</x:v>
      </x:c>
      <x:c r="E34" s="50" t="str">
        <x:v>Shield the trainer for 8% H for 3s.</x:v>
      </x:c>
      <x:c r="F34" s="50" t="str">
        <x:v>Cast when trainer is targeted or at 75% HP or lower.</x:v>
      </x:c>
    </x:row>
    <x:row r="35" ht="47.5" customHeight="1">
      <x:c r="A35" s="49" t="n">
        <x:v>10</x:v>
      </x:c>
      <x:c r="B35" s="50" t="str">
        <x:v>Fluffyak</x:v>
      </x:c>
      <x:c r="C35" s="49" t="n">
        <x:v>12</x:v>
      </x:c>
      <x:c r="D35" s="50" t="str">
        <x:v>Warmth of the Herd</x:v>
      </x:c>
      <x:c r="E35" s="50" t="str">
        <x:v>Heal each living ally for 0.80 M + 2% H. This is the optional MATK branch, not ATK-based healing.</x:v>
      </x:c>
      <x:c r="F35" s="50" t="str">
        <x:v>Cast when trainer is below 60% HP or at least two allies are below 80%.</x:v>
      </x:c>
    </x:row>
    <x:row r="36" ht="47.5" customHeight="1">
      <x:c r="A36" s="49" t="n">
        <x:v>11</x:v>
      </x:c>
      <x:c r="B36" s="50" t="str">
        <x:v>Shardclaw</x:v>
      </x:c>
      <x:c r="C36" s="49" t="n">
        <x:v>4</x:v>
      </x:c>
      <x:c r="D36" s="50" t="str">
        <x:v>Crystal Rake</x:v>
      </x:c>
      <x:c r="E36" s="50" t="str">
        <x:v>Deal two physical hits totaling 1.40 A. Treat as one event for shield-break and crit triggers.</x:v>
      </x:c>
      <x:c r="F36" s="50" t="str">
        <x:v>Cast on the current legal target; no additional condition.</x:v>
      </x:c>
    </x:row>
    <x:row r="37" ht="60" customHeight="1">
      <x:c r="A37" s="49" t="n">
        <x:v>11</x:v>
      </x:c>
      <x:c r="B37" s="50" t="str">
        <x:v>Shardclaw</x:v>
      </x:c>
      <x:c r="C37" s="49" t="n">
        <x:v>8</x:v>
      </x:c>
      <x:c r="D37" s="50" t="str">
        <x:v>Splinter Wedge</x:v>
      </x:c>
      <x:c r="E37" s="50" t="str">
        <x:v>Deal 1.70 A physical damage and apply Brittle for 3s: the next shield received is 25% smaller, then Brittle ends.</x:v>
      </x:c>
      <x:c r="F37" s="50" t="str">
        <x:v>Cast on the current legal target; no additional condition.</x:v>
      </x:c>
    </x:row>
    <x:row r="38" ht="60" customHeight="1">
      <x:c r="A38" s="49" t="n">
        <x:v>11</x:v>
      </x:c>
      <x:c r="B38" s="50" t="str">
        <x:v>Shardclaw</x:v>
      </x:c>
      <x:c r="C38" s="49" t="n">
        <x:v>12</x:v>
      </x:c>
      <x:c r="D38" s="50" t="str">
        <x:v>Fracture Pounce</x:v>
      </x:c>
      <x:c r="E38" s="50" t="str">
        <x:v>A stationary lunging strike for 2.70 A physical damage; deals 3.30 A if the target is currently shielded. Does not reposition Shardclaw.</x:v>
      </x:c>
      <x:c r="F38" s="50" t="str">
        <x:v>Cast on the current legal target; no additional condition.</x:v>
      </x:c>
    </x:row>
    <x:row r="39" ht="38" customHeight="1">
      <x:c r="A39" s="49" t="n">
        <x:v>12</x:v>
      </x:c>
      <x:c r="B39" s="50" t="str">
        <x:v>Hornvault</x:v>
      </x:c>
      <x:c r="C39" s="49" t="n">
        <x:v>4</x:v>
      </x:c>
      <x:c r="D39" s="50" t="str">
        <x:v>Horn Sigil</x:v>
      </x:c>
      <x:c r="E39" s="50" t="str">
        <x:v>Deal 1.30 M magic damage; if at zero Ribs, restore one Rib after the hit.</x:v>
      </x:c>
      <x:c r="F39" s="50" t="str">
        <x:v>Cast on the current legal target; no additional condition.</x:v>
      </x:c>
    </x:row>
    <x:row r="40" ht="38" customHeight="1">
      <x:c r="A40" s="49" t="n">
        <x:v>12</x:v>
      </x:c>
      <x:c r="B40" s="50" t="str">
        <x:v>Hornvault</x:v>
      </x:c>
      <x:c r="C40" s="49" t="n">
        <x:v>8</x:v>
      </x:c>
      <x:c r="D40" s="50" t="str">
        <x:v>Bone Orbit</x:v>
      </x:c>
      <x:c r="E40" s="50" t="str">
        <x:v>Restore 2 Ribs, up to 3, and shield self for 0.65 M for 3s.</x:v>
      </x:c>
      <x:c r="F40" s="50" t="str">
        <x:v>Cast with 1 Rib or fewer.</x:v>
      </x:c>
    </x:row>
    <x:row r="41" ht="47.5" customHeight="1">
      <x:c r="A41" s="49" t="n">
        <x:v>12</x:v>
      </x:c>
      <x:c r="B41" s="50" t="str">
        <x:v>Hornvault</x:v>
      </x:c>
      <x:c r="C41" s="49" t="n">
        <x:v>12</x:v>
      </x:c>
      <x:c r="D41" s="50" t="str">
        <x:v>Vaultbreaker</x:v>
      </x:c>
      <x:c r="E41" s="50" t="str">
        <x:v>Deal 2.30 M magic damage plus 0.25 M per remaining Rib. Does not spend Ribs.</x:v>
      </x:c>
      <x:c r="F41" s="50" t="str">
        <x:v>Cast on the current legal target; no additional condition.</x:v>
      </x:c>
    </x:row>
    <x:row r="42" ht="38" customHeight="1">
      <x:c r="A42" s="49" t="n">
        <x:v>13</x:v>
      </x:c>
      <x:c r="B42" s="50" t="str">
        <x:v>Lilydeer</x:v>
      </x:c>
      <x:c r="C42" s="49" t="n">
        <x:v>4</x:v>
      </x:c>
      <x:c r="D42" s="50" t="str">
        <x:v>Petal Lance</x:v>
      </x:c>
      <x:c r="E42" s="50" t="str">
        <x:v>Deal 1.35 M magic damage.</x:v>
      </x:c>
      <x:c r="F42" s="50" t="str">
        <x:v>Cast on the current legal target; no additional condition.</x:v>
      </x:c>
    </x:row>
    <x:row r="43" ht="38" customHeight="1">
      <x:c r="A43" s="49" t="n">
        <x:v>13</x:v>
      </x:c>
      <x:c r="B43" s="50" t="str">
        <x:v>Lilydeer</x:v>
      </x:c>
      <x:c r="C43" s="49" t="n">
        <x:v>8</x:v>
      </x:c>
      <x:c r="D43" s="50" t="str">
        <x:v>Shelf of Blossoms</x:v>
      </x:c>
      <x:c r="E43" s="50" t="str">
        <x:v>Heal the lowest-HP% ally for 1.20 M; consumes Buds normally.</x:v>
      </x:c>
      <x:c r="F43" s="50" t="str">
        <x:v>Cast when an ally is at 80% HP or lower; trainer below 55% has priority.</x:v>
      </x:c>
    </x:row>
    <x:row r="44" ht="47.5" customHeight="1">
      <x:c r="A44" s="49" t="n">
        <x:v>13</x:v>
      </x:c>
      <x:c r="B44" s="50" t="str">
        <x:v>Lilydeer</x:v>
      </x:c>
      <x:c r="C44" s="49" t="n">
        <x:v>12</x:v>
      </x:c>
      <x:c r="D44" s="50" t="str">
        <x:v>Blooming Antlers</x:v>
      </x:c>
      <x:c r="E44" s="50" t="str">
        <x:v>Deal 2.50 M magic damage; immediately grow 2 Buds instead of the passive's usual one.</x:v>
      </x:c>
      <x:c r="F44" s="50" t="str">
        <x:v>Cast on the current legal target; no additional condition.</x:v>
      </x:c>
    </x:row>
    <x:row r="45" ht="38" customHeight="1">
      <x:c r="A45" s="49" t="n">
        <x:v>14</x:v>
      </x:c>
      <x:c r="B45" s="50" t="str">
        <x:v>Pillowisp</x:v>
      </x:c>
      <x:c r="C45" s="49" t="n">
        <x:v>4</x:v>
      </x:c>
      <x:c r="D45" s="50" t="str">
        <x:v>Pillow Patch</x:v>
      </x:c>
      <x:c r="E45" s="50" t="str">
        <x:v>Heal the lowest-HP% ally for 0.65 M.</x:v>
      </x:c>
      <x:c r="F45" s="50" t="str">
        <x:v>Cast when an ally is at 80% HP or lower.</x:v>
      </x:c>
    </x:row>
    <x:row r="46" ht="47.5" customHeight="1">
      <x:c r="A46" s="49" t="n">
        <x:v>14</x:v>
      </x:c>
      <x:c r="B46" s="50" t="str">
        <x:v>Pillowisp</x:v>
      </x:c>
      <x:c r="C46" s="49" t="n">
        <x:v>8</x:v>
      </x:c>
      <x:c r="D46" s="50" t="str">
        <x:v>Drowsy Fold</x:v>
      </x:c>
      <x:c r="E46" s="50" t="str">
        <x:v>Deal 1.00 M magic damage; target's next basic attack within 3s deals 35% less damage.</x:v>
      </x:c>
      <x:c r="F46" s="50" t="str">
        <x:v>Cast on the current legal target; no additional condition.</x:v>
      </x:c>
    </x:row>
    <x:row r="47" ht="38" customHeight="1">
      <x:c r="A47" s="49" t="n">
        <x:v>14</x:v>
      </x:c>
      <x:c r="B47" s="50" t="str">
        <x:v>Pillowisp</x:v>
      </x:c>
      <x:c r="C47" s="49" t="n">
        <x:v>12</x:v>
      </x:c>
      <x:c r="D47" s="50" t="str">
        <x:v>Dream Quilt</x:v>
      </x:c>
      <x:c r="E47" s="50" t="str">
        <x:v>Heal all living allies for 0.90 M and apply Padding through the passive.</x:v>
      </x:c>
      <x:c r="F47" s="50" t="str">
        <x:v>Cast when trainer is below 60% HP or two allies are below 80%.</x:v>
      </x:c>
    </x:row>
    <x:row r="48" ht="38" customHeight="1">
      <x:c r="A48" s="49" t="n">
        <x:v>15</x:v>
      </x:c>
      <x:c r="B48" s="50" t="str">
        <x:v>Burrowlug</x:v>
      </x:c>
      <x:c r="C48" s="49" t="n">
        <x:v>4</x:v>
      </x:c>
      <x:c r="D48" s="50" t="str">
        <x:v>Root-Mitten Thump</x:v>
      </x:c>
      <x:c r="E48" s="50" t="str">
        <x:v>Deal 1.15 A physical damage and gain a 3% H self-shield for 2s.</x:v>
      </x:c>
      <x:c r="F48" s="50" t="str">
        <x:v>Cast on the current legal target; no additional condition.</x:v>
      </x:c>
    </x:row>
    <x:row r="49" ht="47.5" customHeight="1">
      <x:c r="A49" s="49" t="n">
        <x:v>15</x:v>
      </x:c>
      <x:c r="B49" s="50" t="str">
        <x:v>Burrowlug</x:v>
      </x:c>
      <x:c r="C49" s="49" t="n">
        <x:v>8</x:v>
      </x:c>
      <x:c r="D49" s="50" t="str">
        <x:v>Earth Pantry</x:v>
      </x:c>
      <x:c r="E49" s="50" t="str">
        <x:v>Heal self for 10% H; if Set Roots is active, also cleanse one damage-over-time effect from self.</x:v>
      </x:c>
      <x:c r="F49" s="50" t="str">
        <x:v>Cast at 70% HP or lower.</x:v>
      </x:c>
    </x:row>
    <x:row r="50" ht="38" customHeight="1">
      <x:c r="A50" s="49" t="n">
        <x:v>15</x:v>
      </x:c>
      <x:c r="B50" s="50" t="str">
        <x:v>Burrowlug</x:v>
      </x:c>
      <x:c r="C50" s="49" t="n">
        <x:v>12</x:v>
      </x:c>
      <x:c r="D50" s="50" t="str">
        <x:v>Tuber Rampart</x:v>
      </x:c>
      <x:c r="E50" s="50" t="str">
        <x:v>Give the trainer a 10% H shield for 4s; Burrowlug gains +20 HIT for 3s.</x:v>
      </x:c>
      <x:c r="F50" s="50" t="str">
        <x:v>Cast when the trainer is targeted or at 70% HP or lower.</x:v>
      </x:c>
    </x:row>
    <x:row r="51" ht="38" customHeight="1">
      <x:c r="A51" s="49" t="n">
        <x:v>16</x:v>
      </x:c>
      <x:c r="B51" s="50" t="str">
        <x:v>Cairnox</x:v>
      </x:c>
      <x:c r="C51" s="49" t="n">
        <x:v>4</x:v>
      </x:c>
      <x:c r="D51" s="50" t="str">
        <x:v>Great-Arm Clout</x:v>
      </x:c>
      <x:c r="E51" s="50" t="str">
        <x:v>Deal 1.45 A physical damage. Spend one Fragment, if available, for +0.35 A.</x:v>
      </x:c>
      <x:c r="F51" s="50" t="str">
        <x:v>Cast on the current legal target; no additional condition.</x:v>
      </x:c>
    </x:row>
    <x:row r="52" ht="47.5" customHeight="1">
      <x:c r="A52" s="49" t="n">
        <x:v>16</x:v>
      </x:c>
      <x:c r="B52" s="50" t="str">
        <x:v>Cairnox</x:v>
      </x:c>
      <x:c r="C52" s="49" t="n">
        <x:v>8</x:v>
      </x:c>
      <x:c r="D52" s="50" t="str">
        <x:v>Rattle Refit</x:v>
      </x:c>
      <x:c r="E52" s="50" t="str">
        <x:v>Heal self for 5% H plus 3% H per Fragment consumed; consumes all Fragments.</x:v>
      </x:c>
      <x:c r="F52" s="50" t="str">
        <x:v>Cast at 65% HP or lower.</x:v>
      </x:c>
    </x:row>
    <x:row r="53" ht="47.5" customHeight="1">
      <x:c r="A53" s="49" t="n">
        <x:v>16</x:v>
      </x:c>
      <x:c r="B53" s="50" t="str">
        <x:v>Cairnox</x:v>
      </x:c>
      <x:c r="C53" s="49" t="n">
        <x:v>12</x:v>
      </x:c>
      <x:c r="D53" s="50" t="str">
        <x:v>Cairn Hammer</x:v>
      </x:c>
      <x:c r="E53" s="50" t="str">
        <x:v>Deal 2.40 A physical damage and reduce the target's physical damage dealt by 15% for 3s.</x:v>
      </x:c>
      <x:c r="F53" s="50" t="str">
        <x:v>Cast on the current legal target; no additional condition.</x:v>
      </x:c>
    </x:row>
    <x:row r="54" ht="47.5" customHeight="1">
      <x:c r="A54" s="49" t="n">
        <x:v>17</x:v>
      </x:c>
      <x:c r="B54" s="50" t="str">
        <x:v>Pebblepup</x:v>
      </x:c>
      <x:c r="C54" s="49" t="n">
        <x:v>4</x:v>
      </x:c>
      <x:c r="D54" s="50" t="str">
        <x:v>Paddle-Paw</x:v>
      </x:c>
      <x:c r="E54" s="50" t="str">
        <x:v>Deal 1.35 A physical damage; if sharing the trainer's target, add 0.25 A.</x:v>
      </x:c>
      <x:c r="F54" s="50" t="str">
        <x:v>Cast on the current legal target; no additional condition.</x:v>
      </x:c>
    </x:row>
    <x:row r="55" ht="60" customHeight="1">
      <x:c r="A55" s="49" t="n">
        <x:v>17</x:v>
      </x:c>
      <x:c r="B55" s="50" t="str">
        <x:v>Pebblepup</x:v>
      </x:c>
      <x:c r="C55" s="49" t="n">
        <x:v>8</x:v>
      </x:c>
      <x:c r="D55" s="50" t="str">
        <x:v>Loyal Bark</x:v>
      </x:c>
      <x:c r="E55" s="50" t="str">
        <x:v>Give the trainer a 6% H shield for 3s and mark its current target for 3s; Pebblepup deals 10% more damage to that mark.</x:v>
      </x:c>
      <x:c r="F55" s="50" t="str">
        <x:v>Cast when the trainer has a living legal target and is targeted or below 80% HP.</x:v>
      </x:c>
    </x:row>
    <x:row r="56" ht="72.5" customHeight="1">
      <x:c r="A56" s="49" t="n">
        <x:v>17</x:v>
      </x:c>
      <x:c r="B56" s="50" t="str">
        <x:v>Pebblepup</x:v>
      </x:c>
      <x:c r="C56" s="49" t="n">
        <x:v>12</x:v>
      </x:c>
      <x:c r="D56" s="50" t="str">
        <x:v>Stone Fetch</x:v>
      </x:c>
      <x:c r="E56" s="50" t="str">
        <x:v>Deal 2.70 A physical damage to the trainer's target if legally reachable; otherwise use Pebblepup's current target. Gain a 5% H self-shield for 3s.</x:v>
      </x:c>
      <x:c r="F56" s="50" t="str">
        <x:v>Cast on the current legal target; no additional condition.</x:v>
      </x:c>
    </x:row>
    <x:row r="57" ht="47.5" customHeight="1">
      <x:c r="A57" s="49" t="n">
        <x:v>18</x:v>
      </x:c>
      <x:c r="B57" s="50" t="str">
        <x:v>Pyreling</x:v>
      </x:c>
      <x:c r="C57" s="49" t="n">
        <x:v>4</x:v>
      </x:c>
      <x:c r="D57" s="50" t="str">
        <x:v>Mane Lash</x:v>
      </x:c>
      <x:c r="E57" s="50" t="str">
        <x:v>Deal 1.30 A physical damage and apply a 2s burn totaling 0.40 A magic damage. The burn scales from A, not M.</x:v>
      </x:c>
      <x:c r="F57" s="50" t="str">
        <x:v>Cast on the current legal target; no additional condition.</x:v>
      </x:c>
    </x:row>
    <x:row r="58" ht="38" customHeight="1">
      <x:c r="A58" s="49" t="n">
        <x:v>18</x:v>
      </x:c>
      <x:c r="B58" s="50" t="str">
        <x:v>Pyreling</x:v>
      </x:c>
      <x:c r="C58" s="49" t="n">
        <x:v>8</x:v>
      </x:c>
      <x:c r="D58" s="50" t="str">
        <x:v>Feral Stoke</x:v>
      </x:c>
      <x:c r="E58" s="50" t="str">
        <x:v>Gain +15% physical damage and +15 HIT for 3s.</x:v>
      </x:c>
      <x:c r="F58" s="50" t="str">
        <x:v>Cast with a living current target.</x:v>
      </x:c>
    </x:row>
    <x:row r="59" ht="38" customHeight="1">
      <x:c r="A59" s="49" t="n">
        <x:v>18</x:v>
      </x:c>
      <x:c r="B59" s="50" t="str">
        <x:v>Pyreling</x:v>
      </x:c>
      <x:c r="C59" s="49" t="n">
        <x:v>12</x:v>
      </x:c>
      <x:c r="D59" s="50" t="str">
        <x:v>Pyre Fang</x:v>
      </x:c>
      <x:c r="E59" s="50" t="str">
        <x:v>Deal 2.70 A physical damage; deal 3.40 A instead if the target has any burn.</x:v>
      </x:c>
      <x:c r="F59" s="50" t="str">
        <x:v>Cast on the current legal target; no additional condition.</x:v>
      </x:c>
    </x:row>
    <x:row r="60" ht="38" customHeight="1">
      <x:c r="A60" s="49" t="n">
        <x:v>19</x:v>
      </x:c>
      <x:c r="B60" s="50" t="str">
        <x:v>Pluvault</x:v>
      </x:c>
      <x:c r="C60" s="49" t="n">
        <x:v>4</x:v>
      </x:c>
      <x:c r="D60" s="50" t="str">
        <x:v>Gutter Jet</x:v>
      </x:c>
      <x:c r="E60" s="50" t="str">
        <x:v>Deal 1.20 M magic damage and gain Water equal to 0.25 M, within the cap.</x:v>
      </x:c>
      <x:c r="F60" s="50" t="str">
        <x:v>Cast on the current legal target; no additional condition.</x:v>
      </x:c>
    </x:row>
    <x:row r="61" ht="47.5" customHeight="1">
      <x:c r="A61" s="49" t="n">
        <x:v>19</x:v>
      </x:c>
      <x:c r="B61" s="50" t="str">
        <x:v>Pluvault</x:v>
      </x:c>
      <x:c r="C61" s="49" t="n">
        <x:v>8</x:v>
      </x:c>
      <x:c r="D61" s="50" t="str">
        <x:v>Open the Cistern</x:v>
      </x:c>
      <x:c r="E61" s="50" t="str">
        <x:v>Heal the lowest-HP% ally for 0.90 M plus all stored Water; empty the reserve.</x:v>
      </x:c>
      <x:c r="F61" s="50" t="str">
        <x:v>Cast when an ally is at 75% HP or lower.</x:v>
      </x:c>
    </x:row>
    <x:row r="62" ht="38" customHeight="1">
      <x:c r="A62" s="49" t="n">
        <x:v>19</x:v>
      </x:c>
      <x:c r="B62" s="50" t="str">
        <x:v>Pluvault</x:v>
      </x:c>
      <x:c r="C62" s="49" t="n">
        <x:v>12</x:v>
      </x:c>
      <x:c r="D62" s="50" t="str">
        <x:v>Heavy Lid</x:v>
      </x:c>
      <x:c r="E62" s="50" t="str">
        <x:v>Gain a 15% H shield for 4s and shield the trainer for 0.70 M for 3s.</x:v>
      </x:c>
      <x:c r="F62" s="50" t="str">
        <x:v>Cast while targeted or trainer is at 65% HP or lower.</x:v>
      </x:c>
    </x:row>
    <x:row r="63" ht="38" customHeight="1">
      <x:c r="A63" s="49" t="n">
        <x:v>20</x:v>
      </x:c>
      <x:c r="B63" s="50" t="str">
        <x:v>Rillblade</x:v>
      </x:c>
      <x:c r="C63" s="49" t="n">
        <x:v>4</x:v>
      </x:c>
      <x:c r="D63" s="50" t="str">
        <x:v>Fin Carve</x:v>
      </x:c>
      <x:c r="E63" s="50" t="str">
        <x:v>Deal 1.40 A physical damage with +20 HIT for this cast.</x:v>
      </x:c>
      <x:c r="F63" s="50" t="str">
        <x:v>Cast on the current legal target; no additional condition.</x:v>
      </x:c>
    </x:row>
    <x:row r="64" ht="38" customHeight="1">
      <x:c r="A64" s="49" t="n">
        <x:v>20</x:v>
      </x:c>
      <x:c r="B64" s="50" t="str">
        <x:v>Rillblade</x:v>
      </x:c>
      <x:c r="C64" s="49" t="n">
        <x:v>8</x:v>
      </x:c>
      <x:c r="D64" s="50" t="str">
        <x:v>Silver Current</x:v>
      </x:c>
      <x:c r="E64" s="50" t="str">
        <x:v>Gain +25 HIT and +20 FLEE for 3s.</x:v>
      </x:c>
      <x:c r="F64" s="50" t="str">
        <x:v>Cast with a living current target.</x:v>
      </x:c>
    </x:row>
    <x:row r="65" ht="60" customHeight="1">
      <x:c r="A65" s="49" t="n">
        <x:v>20</x:v>
      </x:c>
      <x:c r="B65" s="50" t="str">
        <x:v>Rillblade</x:v>
      </x:c>
      <x:c r="C65" s="49" t="n">
        <x:v>12</x:v>
      </x:c>
      <x:c r="D65" s="50" t="str">
        <x:v>Rill Sever</x:v>
      </x:c>
      <x:c r="E65" s="50" t="str">
        <x:v>Deal 2.80 A physical damage. If Precision was present at cast start, also reduce the target's healing received by 20% for 3s.</x:v>
      </x:c>
      <x:c r="F65" s="50" t="str">
        <x:v>Cast on the current legal target; no additional condition.</x:v>
      </x:c>
    </x:row>
    <x:row r="66" ht="38" customHeight="1">
      <x:c r="A66" s="49" t="n">
        <x:v>21</x:v>
      </x:c>
      <x:c r="B66" s="50" t="str">
        <x:v>Seedskit</x:v>
      </x:c>
      <x:c r="C66" s="49" t="n">
        <x:v>4</x:v>
      </x:c>
      <x:c r="D66" s="50" t="str">
        <x:v>Seedshot</x:v>
      </x:c>
      <x:c r="E66" s="50" t="str">
        <x:v>Deal 1.35 A physical damage and restore one Seed after resolving.</x:v>
      </x:c>
      <x:c r="F66" s="50" t="str">
        <x:v>Cast on the current legal target; no additional condition.</x:v>
      </x:c>
    </x:row>
    <x:row r="67" ht="38" customHeight="1">
      <x:c r="A67" s="49" t="n">
        <x:v>21</x:v>
      </x:c>
      <x:c r="B67" s="50" t="str">
        <x:v>Seedskit</x:v>
      </x:c>
      <x:c r="C67" s="49" t="n">
        <x:v>8</x:v>
      </x:c>
      <x:c r="D67" s="50" t="str">
        <x:v>Pod Refill</x:v>
      </x:c>
      <x:c r="E67" s="50" t="str">
        <x:v>Restore 3 Seeds. The next basic attack gains +25 HIT.</x:v>
      </x:c>
      <x:c r="F67" s="50" t="str">
        <x:v>Cast at zero Seeds.</x:v>
      </x:c>
    </x:row>
    <x:row r="68" ht="47.5" customHeight="1">
      <x:c r="A68" s="49" t="n">
        <x:v>21</x:v>
      </x:c>
      <x:c r="B68" s="50" t="str">
        <x:v>Seedskit</x:v>
      </x:c>
      <x:c r="C68" s="49" t="n">
        <x:v>12</x:v>
      </x:c>
      <x:c r="D68" s="50" t="str">
        <x:v>Splitpod Salvo</x:v>
      </x:c>
      <x:c r="E68" s="50" t="str">
        <x:v>Deal 2.40 A physical damage plus 0.30 A per Seed consumed; consumes all Seeds.</x:v>
      </x:c>
      <x:c r="F68" s="50" t="str">
        <x:v>Cast on the current legal target; no additional condition.</x:v>
      </x:c>
    </x:row>
    <x:row r="69" ht="38" customHeight="1">
      <x:c r="A69" s="49" t="n">
        <x:v>22</x:v>
      </x:c>
      <x:c r="B69" s="50" t="str">
        <x:v>Rattlebit</x:v>
      </x:c>
      <x:c r="C69" s="49" t="n">
        <x:v>4</x:v>
      </x:c>
      <x:c r="D69" s="50" t="str">
        <x:v>Knucklebone</x:v>
      </x:c>
      <x:c r="E69" s="50" t="str">
        <x:v>Deal 1.30 A physical damage and heal self for 2% H.</x:v>
      </x:c>
      <x:c r="F69" s="50" t="str">
        <x:v>Cast on the current legal target; no additional condition.</x:v>
      </x:c>
    </x:row>
    <x:row r="70" ht="47.5" customHeight="1">
      <x:c r="A70" s="49" t="n">
        <x:v>22</x:v>
      </x:c>
      <x:c r="B70" s="50" t="str">
        <x:v>Rattlebit</x:v>
      </x:c>
      <x:c r="C70" s="49" t="n">
        <x:v>8</x:v>
      </x:c>
      <x:c r="D70" s="50" t="str">
        <x:v>Fold and Mend</x:v>
      </x:c>
      <x:c r="E70" s="50" t="str">
        <x:v>Heal self for 7% H and gain 15% damage reduction against the next direct hit within 2s.</x:v>
      </x:c>
      <x:c r="F70" s="50" t="str">
        <x:v>Cast at 75% HP or lower.</x:v>
      </x:c>
    </x:row>
    <x:row r="71" ht="38" customHeight="1">
      <x:c r="A71" s="49" t="n">
        <x:v>22</x:v>
      </x:c>
      <x:c r="B71" s="50" t="str">
        <x:v>Rattlebit</x:v>
      </x:c>
      <x:c r="C71" s="49" t="n">
        <x:v>12</x:v>
      </x:c>
      <x:c r="D71" s="50" t="str">
        <x:v>Rattle Rally</x:v>
      </x:c>
      <x:c r="E71" s="50" t="str">
        <x:v>Deal 2.30 A physical damage and shield the trainer for 6% H for 3s.</x:v>
      </x:c>
      <x:c r="F71" s="50" t="str">
        <x:v>Cast on the current legal target; no additional condition.</x:v>
      </x:c>
    </x:row>
    <x:row r="72" ht="38" customHeight="1">
      <x:c r="A72" s="49" t="n">
        <x:v>23</x:v>
      </x:c>
      <x:c r="B72" s="50" t="str">
        <x:v>Squallcub</x:v>
      </x:c>
      <x:c r="C72" s="49" t="n">
        <x:v>4</x:v>
      </x:c>
      <x:c r="D72" s="50" t="str">
        <x:v>Squall Paw</x:v>
      </x:c>
      <x:c r="E72" s="50" t="str">
        <x:v>Deal 1.40 A physical damage.</x:v>
      </x:c>
      <x:c r="F72" s="50" t="str">
        <x:v>Cast on the current legal target; no additional condition.</x:v>
      </x:c>
    </x:row>
    <x:row r="73" ht="38" customHeight="1">
      <x:c r="A73" s="49" t="n">
        <x:v>23</x:v>
      </x:c>
      <x:c r="B73" s="50" t="str">
        <x:v>Squallcub</x:v>
      </x:c>
      <x:c r="C73" s="49" t="n">
        <x:v>8</x:v>
      </x:c>
      <x:c r="D73" s="50" t="str">
        <x:v>Stormcurl</x:v>
      </x:c>
      <x:c r="E73" s="50" t="str">
        <x:v>Gain a 9% H self-shield for 3s and one Gust.</x:v>
      </x:c>
      <x:c r="F73" s="50" t="str">
        <x:v>Cast while targeted or at 70% HP or lower.</x:v>
      </x:c>
    </x:row>
    <x:row r="74" ht="135" customHeight="1">
      <x:c r="A74" s="49" t="n">
        <x:v>23</x:v>
      </x:c>
      <x:c r="B74" s="50" t="str">
        <x:v>Squallcub</x:v>
      </x:c>
      <x:c r="C74" s="49" t="n">
        <x:v>12</x:v>
      </x:c>
      <x:c r="D74" s="50" t="str">
        <x:v>Thunderclap Paws</x:v>
      </x:c>
      <x:c r="E74" s="50" t="str">
        <x:v>Deal 2.40 A physical damage to the current target and 0.45 A of the same type to up to 2 distinct additional enemies within 1.5R of that target. Maximum 3 targets total; missing secondary targets add no primary damage. Apply physical hit checks per target where relevant; the cast generates at most one owner resource/proc event.</x:v>
      </x:c>
      <x:c r="F74" s="50" t="str">
        <x:v>Cast on the current legal target; no additional condition.</x:v>
      </x:c>
    </x:row>
    <x:row r="75" ht="60" customHeight="1">
      <x:c r="A75" s="49" t="n">
        <x:v>24</x:v>
      </x:c>
      <x:c r="B75" s="50" t="str">
        <x:v>Pinstitch</x:v>
      </x:c>
      <x:c r="C75" s="49" t="n">
        <x:v>4</x:v>
      </x:c>
      <x:c r="D75" s="50" t="str">
        <x:v>Button Prick</x:v>
      </x:c>
      <x:c r="E75" s="50" t="str">
        <x:v>Deal 1.20 A physical damage and Stitch the target for 3s. Refreshing Stitch does not reset its proc count until the old Stitch expires.</x:v>
      </x:c>
      <x:c r="F75" s="50" t="str">
        <x:v>Cast on the current legal target.</x:v>
      </x:c>
    </x:row>
    <x:row r="76" ht="60" customHeight="1">
      <x:c r="A76" s="49" t="n">
        <x:v>24</x:v>
      </x:c>
      <x:c r="B76" s="50" t="str">
        <x:v>Pinstitch</x:v>
      </x:c>
      <x:c r="C76" s="49" t="n">
        <x:v>8</x:v>
      </x:c>
      <x:c r="D76" s="50" t="str">
        <x:v>Hem Snare</x:v>
      </x:c>
      <x:c r="E76" s="50" t="str">
        <x:v>Deal 1.60 A physical damage and increase the target's basic-attack interval by 15% for 3s. No movement penalty.</x:v>
      </x:c>
      <x:c r="F76" s="50" t="str">
        <x:v>Cast on the current legal target.</x:v>
      </x:c>
    </x:row>
    <x:row r="77" ht="47.5" customHeight="1">
      <x:c r="A77" s="49" t="n">
        <x:v>24</x:v>
      </x:c>
      <x:c r="B77" s="50" t="str">
        <x:v>Pinstitch</x:v>
      </x:c>
      <x:c r="C77" s="49" t="n">
        <x:v>12</x:v>
      </x:c>
      <x:c r="D77" s="50" t="str">
        <x:v>Pull the Seam</x:v>
      </x:c>
      <x:c r="E77" s="50" t="str">
        <x:v>Deal 2.60 A physical damage, plus 0.25 A per Loose Thread activation on the current Stitch, maximum +0.75 A.</x:v>
      </x:c>
      <x:c r="F77" s="50" t="str">
        <x:v>Cast on the current legal target; no wait for maximum Thread activations.</x:v>
      </x:c>
    </x:row>
    <x:row r="78" ht="160" customHeight="1">
      <x:c r="A78" s="49" t="n">
        <x:v>24</x:v>
      </x:c>
      <x:c r="B78" s="50" t="str">
        <x:v>Pinstitch</x:v>
      </x:c>
      <x:c r="C78" s="49" t="n">
        <x:v>12</x:v>
      </x:c>
      <x:c r="D78" s="50" t="str">
        <x:v>Stitched Effigy</x:v>
      </x:c>
      <x:c r="E78" s="50" t="str">
        <x:v>Deal 1.10 A physical damage and place one Effigy near Pinstitch for 6s with 6% H HP, linked to that enemy. A core ally's direct hit on the linked enemy makes the Effigy deal 0.30 A physical damage to that same enemy: pooled 0.75s trigger cooldown, at most 6 triggers. While linked, the enemy receives 15% less healing. The link ends if the enemy, Effigy, or Pinstitch dies. No percent-of-boss-HP damage or damage duplication.</x:v>
      </x:c>
      <x:c r="F78" s="50" t="str">
        <x:v>Cast with a living current enemy and no Effigy. Prefer a boss or a healthy durable target; do not wait for a kill or corpse.</x:v>
      </x:c>
    </x:row>
    <x:row r="79" ht="38" customHeight="1">
      <x:c r="A79" s="49" t="n">
        <x:v>25</x:v>
      </x:c>
      <x:c r="B79" s="50" t="str">
        <x:v>Thornmaw</x:v>
      </x:c>
      <x:c r="C79" s="49" t="n">
        <x:v>4</x:v>
      </x:c>
      <x:c r="D79" s="50" t="str">
        <x:v>Briar Bite</x:v>
      </x:c>
      <x:c r="E79" s="50" t="str">
        <x:v>Deal 1.30 A physical damage and reduce target healing received by 20% for 3s.</x:v>
      </x:c>
      <x:c r="F79" s="50" t="str">
        <x:v>Cast on the current legal target; no additional condition.</x:v>
      </x:c>
    </x:row>
    <x:row r="80" ht="47.5" customHeight="1">
      <x:c r="A80" s="49" t="n">
        <x:v>25</x:v>
      </x:c>
      <x:c r="B80" s="50" t="str">
        <x:v>Thornmaw</x:v>
      </x:c>
      <x:c r="C80" s="49" t="n">
        <x:v>8</x:v>
      </x:c>
      <x:c r="D80" s="50" t="str">
        <x:v>Thorn Cinch</x:v>
      </x:c>
      <x:c r="E80" s="50" t="str">
        <x:v>Taunt reachable enemies for 2s and gain 15% basic-attack damage reduction for 3s.</x:v>
      </x:c>
      <x:c r="F80" s="50" t="str">
        <x:v>Cast above 40% HP when a reachable enemy is attacking the trainer, or while Thornmaw is targeted.</x:v>
      </x:c>
    </x:row>
    <x:row r="81" ht="38" customHeight="1">
      <x:c r="A81" s="49" t="n">
        <x:v>25</x:v>
      </x:c>
      <x:c r="B81" s="50" t="str">
        <x:v>Thornmaw</x:v>
      </x:c>
      <x:c r="C81" s="49" t="n">
        <x:v>12</x:v>
      </x:c>
      <x:c r="D81" s="50" t="str">
        <x:v>Rootjaw Clamp</x:v>
      </x:c>
      <x:c r="E81" s="50" t="str">
        <x:v>Deal 2.50 A physical damage and heal self for 8% H.</x:v>
      </x:c>
      <x:c r="F81" s="50" t="str">
        <x:v>Cast on the current legal target; no additional condition.</x:v>
      </x:c>
    </x:row>
    <x:row r="82" ht="38" customHeight="1">
      <x:c r="A82" s="49" t="n">
        <x:v>26</x:v>
      </x:c>
      <x:c r="B82" s="50" t="str">
        <x:v>Amberkite</x:v>
      </x:c>
      <x:c r="C82" s="49" t="n">
        <x:v>4</x:v>
      </x:c>
      <x:c r="D82" s="50" t="str">
        <x:v>Amber Dart</x:v>
      </x:c>
      <x:c r="E82" s="50" t="str">
        <x:v>Mark the current target; after 0.6s, deal 1.50 M magic damage.</x:v>
      </x:c>
      <x:c r="F82" s="50" t="str">
        <x:v>Cast on the current legal target; no additional condition.</x:v>
      </x:c>
    </x:row>
    <x:row r="83" ht="47.5" customHeight="1">
      <x:c r="A83" s="49" t="n">
        <x:v>26</x:v>
      </x:c>
      <x:c r="B83" s="50" t="str">
        <x:v>Amberkite</x:v>
      </x:c>
      <x:c r="C83" s="49" t="n">
        <x:v>8</x:v>
      </x:c>
      <x:c r="D83" s="50" t="str">
        <x:v>Folded Forecast</x:v>
      </x:c>
      <x:c r="E83" s="50" t="str">
        <x:v>After 0.8s, deal 1.90 M magic damage. On resolving, gain a 0.50 M self-shield for 3s.</x:v>
      </x:c>
      <x:c r="F83" s="50" t="str">
        <x:v>Cast on the current legal target; no additional condition.</x:v>
      </x:c>
    </x:row>
    <x:row r="84" ht="38" customHeight="1">
      <x:c r="A84" s="49" t="n">
        <x:v>26</x:v>
      </x:c>
      <x:c r="B84" s="50" t="str">
        <x:v>Amberkite</x:v>
      </x:c>
      <x:c r="C84" s="49" t="n">
        <x:v>12</x:v>
      </x:c>
      <x:c r="D84" s="50" t="str">
        <x:v>Unfurl the Sun</x:v>
      </x:c>
      <x:c r="E84" s="50" t="str">
        <x:v>After 1.2s, deal 3.20 M magic damage to the marked target.</x:v>
      </x:c>
      <x:c r="F84" s="50" t="str">
        <x:v>Cast on the current legal target; no additional condition.</x:v>
      </x:c>
    </x:row>
    <x:row r="85" ht="38" customHeight="1">
      <x:c r="A85" s="49" t="n">
        <x:v>27</x:v>
      </x:c>
      <x:c r="B85" s="50" t="str">
        <x:v>Cragbeak</x:v>
      </x:c>
      <x:c r="C85" s="49" t="n">
        <x:v>4</x:v>
      </x:c>
      <x:c r="D85" s="50" t="str">
        <x:v>Knuckle Peck</x:v>
      </x:c>
      <x:c r="E85" s="50" t="str">
        <x:v>Deal 1.40 A physical damage. If it lands, gain a 3% H self-shield for 2s.</x:v>
      </x:c>
      <x:c r="F85" s="50" t="str">
        <x:v>Cast on the current legal target; no additional condition.</x:v>
      </x:c>
    </x:row>
    <x:row r="86" ht="47.5" customHeight="1">
      <x:c r="A86" s="49" t="n">
        <x:v>27</x:v>
      </x:c>
      <x:c r="B86" s="50" t="str">
        <x:v>Cragbeak</x:v>
      </x:c>
      <x:c r="C86" s="49" t="n">
        <x:v>8</x:v>
      </x:c>
      <x:c r="D86" s="50" t="str">
        <x:v>Stonewing Cross</x:v>
      </x:c>
      <x:c r="E86" s="50" t="str">
        <x:v>Gain 20% physical damage reduction for 2s; next basic attack within 3s gains +0.35 A.</x:v>
      </x:c>
      <x:c r="F86" s="50" t="str">
        <x:v>Cast while targeted.</x:v>
      </x:c>
    </x:row>
    <x:row r="87" ht="38" customHeight="1">
      <x:c r="A87" s="49" t="n">
        <x:v>27</x:v>
      </x:c>
      <x:c r="B87" s="50" t="str">
        <x:v>Cragbeak</x:v>
      </x:c>
      <x:c r="C87" s="49" t="n">
        <x:v>12</x:v>
      </x:c>
      <x:c r="D87" s="50" t="str">
        <x:v>Quarry Beak</x:v>
      </x:c>
      <x:c r="E87" s="50" t="str">
        <x:v>Deal 2.70 A physical damage and reduce the target's FLEE by 25 for 3s.</x:v>
      </x:c>
      <x:c r="F87" s="50" t="str">
        <x:v>Cast on the current legal target; no additional condition.</x:v>
      </x:c>
    </x:row>
    <x:row r="88" ht="38" customHeight="1">
      <x:c r="A88" s="49" t="n">
        <x:v>28</x:v>
      </x:c>
      <x:c r="B88" s="50" t="str">
        <x:v>Gonglet</x:v>
      </x:c>
      <x:c r="C88" s="49" t="n">
        <x:v>4</x:v>
      </x:c>
      <x:c r="D88" s="50" t="str">
        <x:v>Little Toll</x:v>
      </x:c>
      <x:c r="E88" s="50" t="str">
        <x:v>Deal 1.15 M magic damage and grant one Note, subject to the cap.</x:v>
      </x:c>
      <x:c r="F88" s="50" t="str">
        <x:v>Cast on the current legal target; no additional condition.</x:v>
      </x:c>
    </x:row>
    <x:row r="89" ht="47.5" customHeight="1">
      <x:c r="A89" s="49" t="n">
        <x:v>28</x:v>
      </x:c>
      <x:c r="B89" s="50" t="str">
        <x:v>Gonglet</x:v>
      </x:c>
      <x:c r="C89" s="49" t="n">
        <x:v>8</x:v>
      </x:c>
      <x:c r="D89" s="50" t="str">
        <x:v>Sheltering Chime</x:v>
      </x:c>
      <x:c r="E89" s="50" t="str">
        <x:v>Shield the lowest-HP% ally for 1.00 M + 3% H for 3s; consumes Notes normally.</x:v>
      </x:c>
      <x:c r="F89" s="50" t="str">
        <x:v>Cast when an ally is targeted or at 75% HP or lower.</x:v>
      </x:c>
    </x:row>
    <x:row r="90" ht="60" customHeight="1">
      <x:c r="A90" s="49" t="n">
        <x:v>28</x:v>
      </x:c>
      <x:c r="B90" s="50" t="str">
        <x:v>Gonglet</x:v>
      </x:c>
      <x:c r="C90" s="49" t="n">
        <x:v>12</x:v>
      </x:c>
      <x:c r="D90" s="50" t="str">
        <x:v>Grand Resonance</x:v>
      </x:c>
      <x:c r="E90" s="50" t="str">
        <x:v>Give every living ally a 0.65 M shield for 3s. Stored-note bonus applies only to the lowest-HP% ally, not separately to all three.</x:v>
      </x:c>
      <x:c r="F90" s="50" t="str">
        <x:v>Cast when the trainer is targeted or two allies are below 85% HP.</x:v>
      </x:c>
    </x:row>
    <x:row r="91" ht="38" customHeight="1">
      <x:c r="A91" s="49" t="n">
        <x:v>29</x:v>
      </x:c>
      <x:c r="B91" s="50" t="str">
        <x:v>Glassphoenix</x:v>
      </x:c>
      <x:c r="C91" s="49" t="n">
        <x:v>4</x:v>
      </x:c>
      <x:c r="D91" s="50" t="str">
        <x:v>Glassflame</x:v>
      </x:c>
      <x:c r="E91" s="50" t="str">
        <x:v>Deal 1.45 M magic damage.</x:v>
      </x:c>
      <x:c r="F91" s="50" t="str">
        <x:v>Cast on the current legal target; no additional condition.</x:v>
      </x:c>
    </x:row>
    <x:row r="92" ht="47.5" customHeight="1">
      <x:c r="A92" s="49" t="n">
        <x:v>29</x:v>
      </x:c>
      <x:c r="B92" s="50" t="str">
        <x:v>Glassphoenix</x:v>
      </x:c>
      <x:c r="C92" s="49" t="n">
        <x:v>8</x:v>
      </x:c>
      <x:c r="D92" s="50" t="str">
        <x:v>Luminous Seams</x:v>
      </x:c>
      <x:c r="E92" s="50" t="str">
        <x:v>Shield self for 1.00 M for 3s; while this shield lasts, deal 10% more magic damage.</x:v>
      </x:c>
      <x:c r="F92" s="50" t="str">
        <x:v>Cast while targeted, or after Cracked, Not Gone has triggered.</x:v>
      </x:c>
    </x:row>
    <x:row r="93" ht="135" customHeight="1">
      <x:c r="A93" s="49" t="n">
        <x:v>29</x:v>
      </x:c>
      <x:c r="B93" s="50" t="str">
        <x:v>Glassphoenix</x:v>
      </x:c>
      <x:c r="C93" s="49" t="n">
        <x:v>12</x:v>
      </x:c>
      <x:c r="D93" s="50" t="str">
        <x:v>Shatterwing</x:v>
      </x:c>
      <x:c r="E93" s="50" t="str">
        <x:v>Deal 2.80 M magic damage to the current target and 0.50 M of the same type to up to 2 distinct additional enemies within 1.5R of that target. Maximum 3 targets total; missing secondary targets add no primary damage. Apply physical hit checks per target where relevant; the cast generates at most one owner resource/proc event.</x:v>
      </x:c>
      <x:c r="F93" s="50" t="str">
        <x:v>Cast on the current legal target; no additional condition.</x:v>
      </x:c>
    </x:row>
    <x:row r="94" ht="38" customHeight="1">
      <x:c r="A94" s="49" t="n">
        <x:v>30</x:v>
      </x:c>
      <x:c r="B94" s="50" t="str">
        <x:v>Veilheron</x:v>
      </x:c>
      <x:c r="C94" s="49" t="n">
        <x:v>4</x:v>
      </x:c>
      <x:c r="D94" s="50" t="str">
        <x:v>Needle Beak</x:v>
      </x:c>
      <x:c r="E94" s="50" t="str">
        <x:v>Deal 1.35 A physical damage with +25 HIT for this cast.</x:v>
      </x:c>
      <x:c r="F94" s="50" t="str">
        <x:v>Cast on the current legal target; no additional condition.</x:v>
      </x:c>
    </x:row>
    <x:row r="95" ht="38" customHeight="1">
      <x:c r="A95" s="49" t="n">
        <x:v>30</x:v>
      </x:c>
      <x:c r="B95" s="50" t="str">
        <x:v>Veilheron</x:v>
      </x:c>
      <x:c r="C95" s="49" t="n">
        <x:v>8</x:v>
      </x:c>
      <x:c r="D95" s="50" t="str">
        <x:v>Draped Wing</x:v>
      </x:c>
      <x:c r="E95" s="50" t="str">
        <x:v>Gain +25 FLEE and a 0.70 A self-shield for 3s.</x:v>
      </x:c>
      <x:c r="F95" s="50" t="str">
        <x:v>Cast while targeted or at 75% HP or lower.</x:v>
      </x:c>
    </x:row>
    <x:row r="96" ht="47.5" customHeight="1">
      <x:c r="A96" s="49" t="n">
        <x:v>30</x:v>
      </x:c>
      <x:c r="B96" s="50" t="str">
        <x:v>Veilheron</x:v>
      </x:c>
      <x:c r="C96" s="49" t="n">
        <x:v>12</x:v>
      </x:c>
      <x:c r="D96" s="50" t="str">
        <x:v>Part the Veil</x:v>
      </x:c>
      <x:c r="E96" s="50" t="str">
        <x:v>Deal 2.80 A physical damage; if target is above 80% HP at cast start, increase to 3.30 A.</x:v>
      </x:c>
      <x:c r="F96" s="50" t="str">
        <x:v>Cast on the current legal target; no additional condition.</x:v>
      </x:c>
    </x:row>
    <x:row r="97" ht="38" customHeight="1">
      <x:c r="A97" s="49" t="n">
        <x:v>31</x:v>
      </x:c>
      <x:c r="B97" s="50" t="str">
        <x:v>Honeylark</x:v>
      </x:c>
      <x:c r="C97" s="49" t="n">
        <x:v>4</x:v>
      </x:c>
      <x:c r="D97" s="50" t="str">
        <x:v>Nectar Note</x:v>
      </x:c>
      <x:c r="E97" s="50" t="str">
        <x:v>Heal the lowest-HP% ally for 0.70 M.</x:v>
      </x:c>
      <x:c r="F97" s="50" t="str">
        <x:v>Cast when an ally is at 80% HP or lower.</x:v>
      </x:c>
    </x:row>
    <x:row r="98" ht="85" customHeight="1">
      <x:c r="A98" s="49" t="n">
        <x:v>31</x:v>
      </x:c>
      <x:c r="B98" s="50" t="str">
        <x:v>Honeylark</x:v>
      </x:c>
      <x:c r="C98" s="49" t="n">
        <x:v>8</x:v>
      </x:c>
      <x:c r="D98" s="50" t="str">
        <x:v>Golden Duet</x:v>
      </x:c>
      <x:c r="E98" s="50" t="str">
        <x:v>Choose the ally with the highest unbuffed primary attack stat, excluding Honeylark when another ally exists. Heal it for 0.80 M and reduce its basic-attack interval by 12% for 3s.</x:v>
      </x:c>
      <x:c r="F98" s="50" t="str">
        <x:v>Cast when chosen ally is damaged or is actively attacking.</x:v>
      </x:c>
    </x:row>
    <x:row r="99" ht="47.5" customHeight="1">
      <x:c r="A99" s="49" t="n">
        <x:v>31</x:v>
      </x:c>
      <x:c r="B99" s="50" t="str">
        <x:v>Honeylark</x:v>
      </x:c>
      <x:c r="C99" s="49" t="n">
        <x:v>12</x:v>
      </x:c>
      <x:c r="D99" s="50" t="str">
        <x:v>Honeychorus</x:v>
      </x:c>
      <x:c r="E99" s="50" t="str">
        <x:v>Heal all living allies for 0.90 M and give each Nectar, even if its heal was fully overheal.</x:v>
      </x:c>
      <x:c r="F99" s="50" t="str">
        <x:v>Cast when trainer is below 60% HP or two allies are below 85%.</x:v>
      </x:c>
    </x:row>
    <x:row r="100" ht="47.5" customHeight="1">
      <x:c r="A100" s="49" t="n">
        <x:v>32</x:v>
      </x:c>
      <x:c r="B100" s="50" t="str">
        <x:v>Hushowl</x:v>
      </x:c>
      <x:c r="C100" s="49" t="n">
        <x:v>4</x:v>
      </x:c>
      <x:c r="D100" s="50" t="str">
        <x:v>Hush Feather</x:v>
      </x:c>
      <x:c r="E100" s="50" t="str">
        <x:v>Deal 1.25 A physical damage and reduce the target's next damaging active within 3s by 12%.</x:v>
      </x:c>
      <x:c r="F100" s="50" t="str">
        <x:v>Cast on the current legal target; no additional condition.</x:v>
      </x:c>
    </x:row>
    <x:row r="101" ht="60" customHeight="1">
      <x:c r="A101" s="49" t="n">
        <x:v>32</x:v>
      </x:c>
      <x:c r="B101" s="50" t="str">
        <x:v>Hushowl</x:v>
      </x:c>
      <x:c r="C101" s="49" t="n">
        <x:v>8</x:v>
      </x:c>
      <x:c r="D101" s="50" t="str">
        <x:v>Shut the Mask</x:v>
      </x:c>
      <x:c r="E101" s="50" t="str">
        <x:v>Deal 1.40 A physical damage and Silence for 1s. Silence blocks active skills, not basic attacks; standard control immunity applies.</x:v>
      </x:c>
      <x:c r="F101" s="50" t="str">
        <x:v>Cast on the current legal target; no additional condition.</x:v>
      </x:c>
    </x:row>
    <x:row r="102" ht="47.5" customHeight="1">
      <x:c r="A102" s="49" t="n">
        <x:v>32</x:v>
      </x:c>
      <x:c r="B102" s="50" t="str">
        <x:v>Hushowl</x:v>
      </x:c>
      <x:c r="C102" s="49" t="n">
        <x:v>12</x:v>
      </x:c>
      <x:c r="D102" s="50" t="str">
        <x:v>Unspoken Verdict</x:v>
      </x:c>
      <x:c r="E102" s="50" t="str">
        <x:v>Deal 2.80 A physical damage; also reduce target healing and shielding output by 20% for 3s.</x:v>
      </x:c>
      <x:c r="F102" s="50" t="str">
        <x:v>Cast on the current legal target; no additional condition.</x:v>
      </x:c>
    </x:row>
    <x:row r="103" ht="38" customHeight="1">
      <x:c r="A103" s="49" t="n">
        <x:v>33</x:v>
      </x:c>
      <x:c r="B103" s="50" t="str">
        <x:v>Razorwing</x:v>
      </x:c>
      <x:c r="C103" s="49" t="n">
        <x:v>4</x:v>
      </x:c>
      <x:c r="D103" s="50" t="str">
        <x:v>Crescent Slice</x:v>
      </x:c>
      <x:c r="E103" s="50" t="str">
        <x:v>Deal 1.35 A physical damage; against a bleeding target, add 0.25 A.</x:v>
      </x:c>
      <x:c r="F103" s="50" t="str">
        <x:v>Cast on the current legal target; no additional condition.</x:v>
      </x:c>
    </x:row>
    <x:row r="104" ht="38" customHeight="1">
      <x:c r="A104" s="49" t="n">
        <x:v>33</x:v>
      </x:c>
      <x:c r="B104" s="50" t="str">
        <x:v>Razorwing</x:v>
      </x:c>
      <x:c r="C104" s="49" t="n">
        <x:v>8</x:v>
      </x:c>
      <x:c r="D104" s="50" t="str">
        <x:v>Blade Poise</x:v>
      </x:c>
      <x:c r="E104" s="50" t="str">
        <x:v>Gain +15 percentage points of CRIT chance and +20 HIT for 3s.</x:v>
      </x:c>
      <x:c r="F104" s="50" t="str">
        <x:v>Cast with a living current target.</x:v>
      </x:c>
    </x:row>
    <x:row r="105" ht="47.5" customHeight="1">
      <x:c r="A105" s="49" t="n">
        <x:v>33</x:v>
      </x:c>
      <x:c r="B105" s="50" t="str">
        <x:v>Razorwing</x:v>
      </x:c>
      <x:c r="C105" s="49" t="n">
        <x:v>12</x:v>
      </x:c>
      <x:c r="D105" s="50" t="str">
        <x:v>Red Arc</x:v>
      </x:c>
      <x:c r="E105" s="50" t="str">
        <x:v>Deal 2.70 A physical damage. If target is bleeding, reduce its healing received by 25% for 3s.</x:v>
      </x:c>
      <x:c r="F105" s="50" t="str">
        <x:v>Cast on the current legal target; no additional condition.</x:v>
      </x:c>
    </x:row>
    <x:row r="106" ht="38" customHeight="1">
      <x:c r="A106" s="49" t="n">
        <x:v>34</x:v>
      </x:c>
      <x:c r="B106" s="50" t="str">
        <x:v>Snipstream</x:v>
      </x:c>
      <x:c r="C106" s="49" t="n">
        <x:v>4</x:v>
      </x:c>
      <x:c r="D106" s="50" t="str">
        <x:v>Crosscut Gust</x:v>
      </x:c>
      <x:c r="E106" s="50" t="str">
        <x:v>Deal two physical hits totaling 1.40 A; resolve as one proc event.</x:v>
      </x:c>
      <x:c r="F106" s="50" t="str">
        <x:v>Cast on the current legal target; no additional condition.</x:v>
      </x:c>
    </x:row>
    <x:row r="107" ht="38" customHeight="1">
      <x:c r="A107" s="49" t="n">
        <x:v>34</x:v>
      </x:c>
      <x:c r="B107" s="50" t="str">
        <x:v>Snipstream</x:v>
      </x:c>
      <x:c r="C107" s="49" t="n">
        <x:v>8</x:v>
      </x:c>
      <x:c r="D107" s="50" t="str">
        <x:v>Slipstream Edge</x:v>
      </x:c>
      <x:c r="E107" s="50" t="str">
        <x:v>Deal 1.80 A physical damage; next basic attack within 3s gains +25 HIT.</x:v>
      </x:c>
      <x:c r="F107" s="50" t="str">
        <x:v>Cast on the current legal target; no additional condition.</x:v>
      </x:c>
    </x:row>
    <x:row r="108" ht="47.5" customHeight="1">
      <x:c r="A108" s="49" t="n">
        <x:v>34</x:v>
      </x:c>
      <x:c r="B108" s="50" t="str">
        <x:v>Snipstream</x:v>
      </x:c>
      <x:c r="C108" s="49" t="n">
        <x:v>12</x:v>
      </x:c>
      <x:c r="D108" s="50" t="str">
        <x:v>Clean Cut</x:v>
      </x:c>
      <x:c r="E108" s="50" t="str">
        <x:v>Deal 3.00 A physical damage. Stored overkill can add to this hit but cannot generate a new store.</x:v>
      </x:c>
      <x:c r="F108" s="50" t="str">
        <x:v>Cast on the current legal target; no additional condition.</x:v>
      </x:c>
    </x:row>
    <x:row r="109" ht="38" customHeight="1">
      <x:c r="A109" s="49" t="n">
        <x:v>35</x:v>
      </x:c>
      <x:c r="B109" s="50" t="str">
        <x:v>Keepsake</x:v>
      </x:c>
      <x:c r="C109" s="49" t="n">
        <x:v>4</x:v>
      </x:c>
      <x:c r="D109" s="50" t="str">
        <x:v>Pebble Promise</x:v>
      </x:c>
      <x:c r="E109" s="50" t="str">
        <x:v>Give the trainer a 0.65 M shield for 3s.</x:v>
      </x:c>
      <x:c r="F109" s="50" t="str">
        <x:v>Cast when trainer is targeted or at 80% HP or lower.</x:v>
      </x:c>
    </x:row>
    <x:row r="110" ht="38" customHeight="1">
      <x:c r="A110" s="49" t="n">
        <x:v>35</x:v>
      </x:c>
      <x:c r="B110" s="50" t="str">
        <x:v>Keepsake</x:v>
      </x:c>
      <x:c r="C110" s="49" t="n">
        <x:v>8</x:v>
      </x:c>
      <x:c r="D110" s="50" t="str">
        <x:v>Remembered Warmth</x:v>
      </x:c>
      <x:c r="E110" s="50" t="str">
        <x:v>Heal the lowest-HP% ally for 1.30 M; if trainer is the target, add 0.20 M.</x:v>
      </x:c>
      <x:c r="F110" s="50" t="str">
        <x:v>Cast when an ally is at 80% HP or lower; trainer below 55% has priority.</x:v>
      </x:c>
    </x:row>
    <x:row r="111" ht="47.5" customHeight="1">
      <x:c r="A111" s="49" t="n">
        <x:v>35</x:v>
      </x:c>
      <x:c r="B111" s="50" t="str">
        <x:v>Keepsake</x:v>
      </x:c>
      <x:c r="C111" s="49" t="n">
        <x:v>12</x:v>
      </x:c>
      <x:c r="D111" s="50" t="str">
        <x:v>Precious Circle</x:v>
      </x:c>
      <x:c r="E111" s="50" t="str">
        <x:v>Give the trainer a shield equal to 1.00 M + 6% H for 4s and reduce its direct damage taken by 10% for 2s.</x:v>
      </x:c>
      <x:c r="F111" s="50" t="str">
        <x:v>Cast when trainer is targeted or at 65% HP or lower.</x:v>
      </x:c>
    </x:row>
    <x:row r="112" ht="38" customHeight="1">
      <x:c r="A112" s="49" t="n">
        <x:v>36</x:v>
      </x:c>
      <x:c r="B112" s="50" t="str">
        <x:v>Hopgrit</x:v>
      </x:c>
      <x:c r="C112" s="49" t="n">
        <x:v>4</x:v>
      </x:c>
      <x:c r="D112" s="50" t="str">
        <x:v>Heel Hammer</x:v>
      </x:c>
      <x:c r="E112" s="50" t="str">
        <x:v>Deal 1.40 A physical damage.</x:v>
      </x:c>
      <x:c r="F112" s="50" t="str">
        <x:v>Cast on the current legal target; no additional condition.</x:v>
      </x:c>
    </x:row>
    <x:row r="113" ht="38" customHeight="1">
      <x:c r="A113" s="49" t="n">
        <x:v>36</x:v>
      </x:c>
      <x:c r="B113" s="50" t="str">
        <x:v>Hopgrit</x:v>
      </x:c>
      <x:c r="C113" s="49" t="n">
        <x:v>8</x:v>
      </x:c>
      <x:c r="D113" s="50" t="str">
        <x:v>Plant the Feet</x:v>
      </x:c>
      <x:c r="E113" s="50" t="str">
        <x:v>Gain 15% damage reduction for 3s and one Grit.</x:v>
      </x:c>
      <x:c r="F113" s="50" t="str">
        <x:v>Cast while targeted.</x:v>
      </x:c>
    </x:row>
    <x:row r="114" ht="60" customHeight="1">
      <x:c r="A114" s="49" t="n">
        <x:v>36</x:v>
      </x:c>
      <x:c r="B114" s="50" t="str">
        <x:v>Hopgrit</x:v>
      </x:c>
      <x:c r="C114" s="49" t="n">
        <x:v>12</x:v>
      </x:c>
      <x:c r="D114" s="50" t="str">
        <x:v>Quarry Kick</x:v>
      </x:c>
      <x:c r="E114" s="50" t="str">
        <x:v>Deal 2.70 A physical damage and interrupt for 0.5s. This is a planted kick, not a movement or displacement effect.</x:v>
      </x:c>
      <x:c r="F114" s="50" t="str">
        <x:v>Cast on the current legal target; no additional condition.</x:v>
      </x:c>
    </x:row>
    <x:row r="115" ht="38" customHeight="1">
      <x:c r="A115" s="49" t="n">
        <x:v>37</x:v>
      </x:c>
      <x:c r="B115" s="50" t="str">
        <x:v>Tempestool</x:v>
      </x:c>
      <x:c r="C115" s="49" t="n">
        <x:v>4</x:v>
      </x:c>
      <x:c r="D115" s="50" t="str">
        <x:v>Sporebolt</x:v>
      </x:c>
      <x:c r="E115" s="50" t="str">
        <x:v>Deal 1.25 M magic damage and apply one Spore.</x:v>
      </x:c>
      <x:c r="F115" s="50" t="str">
        <x:v>Cast on the current legal target.</x:v>
      </x:c>
    </x:row>
    <x:row r="116" ht="47.5" customHeight="1">
      <x:c r="A116" s="49" t="n">
        <x:v>37</x:v>
      </x:c>
      <x:c r="B116" s="50" t="str">
        <x:v>Tempestool</x:v>
      </x:c>
      <x:c r="C116" s="49" t="n">
        <x:v>8</x:v>
      </x:c>
      <x:c r="D116" s="50" t="str">
        <x:v>Stormcap Canopy</x:v>
      </x:c>
      <x:c r="E116" s="50" t="str">
        <x:v>Shield the lowest-HP% core ally for 0.95 M for 3s and reduce magic damage it takes by 15% for 2s.</x:v>
      </x:c>
      <x:c r="F116" s="50" t="str">
        <x:v>Cast when a core ally is targeted by a magical enemy or at 75% HP or lower.</x:v>
      </x:c>
    </x:row>
    <x:row r="117" ht="160" customHeight="1">
      <x:c r="A117" s="49" t="n">
        <x:v>37</x:v>
      </x:c>
      <x:c r="B117" s="50" t="str">
        <x:v>Tempestool</x:v>
      </x:c>
      <x:c r="C117" s="49" t="n">
        <x:v>12</x:v>
      </x:c>
      <x:c r="D117" s="50" t="str">
        <x:v>Thunderhead Totem</x:v>
      </x:c>
      <x:c r="E117" s="50" t="str">
        <x:v>Deploy one Stormcap Totem for 5s with 8% H HP at a legal point within casting reach whose 2R radius covers the current target. Pulse immediately and at 2s and 4s: deal 0.75 M magic damage to a primary enemy and 0.25 M to up to 2 additional enemies in the zone. The first pulse applies Spores. Each pulse prioritizes the owner's current enemy if present, then the nearest enemy; empty splash does not hit a lone boss again.</x:v>
      </x:c>
      <x:c r="F117" s="50" t="str">
        <x:v>Cast when its proposed zone contains a legal enemy and no Stormcap Totem is alive. Never wait for a second enemy.</x:v>
      </x:c>
    </x:row>
    <x:row r="118" ht="38" customHeight="1">
      <x:c r="A118" s="49" t="n">
        <x:v>38</x:v>
      </x:c>
      <x:c r="B118" s="50" t="str">
        <x:v>Windlass</x:v>
      </x:c>
      <x:c r="C118" s="49" t="n">
        <x:v>4</x:v>
      </x:c>
      <x:c r="D118" s="50" t="str">
        <x:v>Ring Hammer</x:v>
      </x:c>
      <x:c r="E118" s="50" t="str">
        <x:v>Deal 1.40 A physical damage.</x:v>
      </x:c>
      <x:c r="F118" s="50" t="str">
        <x:v>Cast on the current legal target; no additional condition.</x:v>
      </x:c>
    </x:row>
    <x:row r="119" ht="60" customHeight="1">
      <x:c r="A119" s="49" t="n">
        <x:v>38</x:v>
      </x:c>
      <x:c r="B119" s="50" t="str">
        <x:v>Windlass</x:v>
      </x:c>
      <x:c r="C119" s="49" t="n">
        <x:v>8</x:v>
      </x:c>
      <x:c r="D119" s="50" t="str">
        <x:v>Lock the Axle</x:v>
      </x:c>
      <x:c r="E119" s="50" t="str">
        <x:v>Gain a 9% H self-shield for 3s; while it lasts, current Flywheel stacks are retained through one death-based target switch.</x:v>
      </x:c>
      <x:c r="F119" s="50" t="str">
        <x:v>Cast while targeted or at 70% HP or lower.</x:v>
      </x:c>
    </x:row>
    <x:row r="120" ht="38" customHeight="1">
      <x:c r="A120" s="49" t="n">
        <x:v>38</x:v>
      </x:c>
      <x:c r="B120" s="50" t="str">
        <x:v>Windlass</x:v>
      </x:c>
      <x:c r="C120" s="49" t="n">
        <x:v>12</x:v>
      </x:c>
      <x:c r="D120" s="50" t="str">
        <x:v>Full Torque</x:v>
      </x:c>
      <x:c r="E120" s="50" t="str">
        <x:v>Deal 2.70 A physical damage; add 0.20 A per Flywheel stack, maximum +0.60 A.</x:v>
      </x:c>
      <x:c r="F120" s="50" t="str">
        <x:v>Cast on the current legal target; no additional condition.</x:v>
      </x:c>
    </x:row>
    <x:row r="121" ht="38" customHeight="1">
      <x:c r="A121" s="49" t="n">
        <x:v>39</x:v>
      </x:c>
      <x:c r="B121" s="50" t="str">
        <x:v>Tempestrook</x:v>
      </x:c>
      <x:c r="C121" s="49" t="n">
        <x:v>4</x:v>
      </x:c>
      <x:c r="D121" s="50" t="str">
        <x:v>Triple Pinion</x:v>
      </x:c>
      <x:c r="E121" s="50" t="str">
        <x:v>Deal three physical hits totaling 1.45 A; one crit roll and one proc event.</x:v>
      </x:c>
      <x:c r="F121" s="50" t="str">
        <x:v>Cast on the current legal target; no additional condition.</x:v>
      </x:c>
    </x:row>
    <x:row r="122" ht="38" customHeight="1">
      <x:c r="A122" s="49" t="n">
        <x:v>39</x:v>
      </x:c>
      <x:c r="B122" s="50" t="str">
        <x:v>Tempestrook</x:v>
      </x:c>
      <x:c r="C122" s="49" t="n">
        <x:v>8</x:v>
      </x:c>
      <x:c r="D122" s="50" t="str">
        <x:v>Wing Mantle</x:v>
      </x:c>
      <x:c r="E122" s="50" t="str">
        <x:v>Gain a 0.90 A self-shield for 3s and +15 HIT.</x:v>
      </x:c>
      <x:c r="F122" s="50" t="str">
        <x:v>Cast while targeted or at 70% HP or lower.</x:v>
      </x:c>
    </x:row>
    <x:row r="123" ht="47.5" customHeight="1">
      <x:c r="A123" s="49" t="n">
        <x:v>39</x:v>
      </x:c>
      <x:c r="B123" s="50" t="str">
        <x:v>Tempestrook</x:v>
      </x:c>
      <x:c r="C123" s="49" t="n">
        <x:v>12</x:v>
      </x:c>
      <x:c r="D123" s="50" t="str">
        <x:v>Sixfold Tempest</x:v>
      </x:c>
      <x:c r="E123" s="50" t="str">
        <x:v>Deal six physical hits totaling 3.10 A. If below 40% HP, also gain a 5% H self-shield for 2s.</x:v>
      </x:c>
      <x:c r="F123" s="50" t="str">
        <x:v>Cast on the current legal target; no additional condition.</x:v>
      </x:c>
    </x:row>
    <x:row r="124" ht="38" customHeight="1">
      <x:c r="A124" s="49" t="n">
        <x:v>40</x:v>
      </x:c>
      <x:c r="B124" s="50" t="str">
        <x:v>Velvimp</x:v>
      </x:c>
      <x:c r="C124" s="49" t="n">
        <x:v>4</x:v>
      </x:c>
      <x:c r="D124" s="50" t="str">
        <x:v>Velvet Prick</x:v>
      </x:c>
      <x:c r="E124" s="50" t="str">
        <x:v>Deal 1.35 M magic damage.</x:v>
      </x:c>
      <x:c r="F124" s="50" t="str">
        <x:v>Cast on the current legal target; no additional condition.</x:v>
      </x:c>
    </x:row>
    <x:row r="125" ht="72.5" customHeight="1">
      <x:c r="A125" s="49" t="n">
        <x:v>40</x:v>
      </x:c>
      <x:c r="B125" s="50" t="str">
        <x:v>Velvimp</x:v>
      </x:c>
      <x:c r="C125" s="49" t="n">
        <x:v>8</x:v>
      </x:c>
      <x:c r="D125" s="50" t="str">
        <x:v>Borrowed Splendor</x:v>
      </x:c>
      <x:c r="E125" s="50" t="str">
        <x:v>Remove one removable ATK, MATK, HIT, or attack-speed buff from the current target; gain +10% MATK for 3s. Against no eligible buff, deal 1.45 M magic damage instead.</x:v>
      </x:c>
      <x:c r="F125" s="50" t="str">
        <x:v>Cast on the current legal target; no additional condition.</x:v>
      </x:c>
    </x:row>
    <x:row r="126" ht="47.5" customHeight="1">
      <x:c r="A126" s="49" t="n">
        <x:v>40</x:v>
      </x:c>
      <x:c r="B126" s="50" t="str">
        <x:v>Velvimp</x:v>
      </x:c>
      <x:c r="C126" s="49" t="n">
        <x:v>12</x:v>
      </x:c>
      <x:c r="D126" s="50" t="str">
        <x:v>Curtain Call</x:v>
      </x:c>
      <x:c r="E126" s="50" t="str">
        <x:v>Deal 2.80 M magic damage and reduce the target's shielding received by 25% for 3s.</x:v>
      </x:c>
      <x:c r="F126" s="50" t="str">
        <x:v>Cast on the current legal target; no additional condition.</x:v>
      </x:c>
    </x:row>
    <x:row r="127" ht="38" customHeight="1">
      <x:c r="A127" s="49" t="n">
        <x:v>41</x:v>
      </x:c>
      <x:c r="B127" s="50" t="str">
        <x:v>Brooktoad</x:v>
      </x:c>
      <x:c r="C127" s="49" t="n">
        <x:v>4</x:v>
      </x:c>
      <x:c r="D127" s="50" t="str">
        <x:v>Dew Croak</x:v>
      </x:c>
      <x:c r="E127" s="50" t="str">
        <x:v>Heal the lowest-HP% ally for 0.75 M.</x:v>
      </x:c>
      <x:c r="F127" s="50" t="str">
        <x:v>Cast when an ally is at 85% HP or lower.</x:v>
      </x:c>
    </x:row>
    <x:row r="128" ht="47.5" customHeight="1">
      <x:c r="A128" s="49" t="n">
        <x:v>41</x:v>
      </x:c>
      <x:c r="B128" s="50" t="str">
        <x:v>Brooktoad</x:v>
      </x:c>
      <x:c r="C128" s="49" t="n">
        <x:v>8</x:v>
      </x:c>
      <x:c r="D128" s="50" t="str">
        <x:v>Bowlful of Care</x:v>
      </x:c>
      <x:c r="E128" s="50" t="str">
        <x:v>Heal the lowest-HP% ally for 1.25 M plus stored Water, then empty the bowl.</x:v>
      </x:c>
      <x:c r="F128" s="50" t="str">
        <x:v>Cast when an ally is at 70% HP or lower.</x:v>
      </x:c>
    </x:row>
    <x:row r="129" ht="47.5" customHeight="1">
      <x:c r="A129" s="49" t="n">
        <x:v>41</x:v>
      </x:c>
      <x:c r="B129" s="50" t="str">
        <x:v>Brooktoad</x:v>
      </x:c>
      <x:c r="C129" s="49" t="n">
        <x:v>12</x:v>
      </x:c>
      <x:c r="D129" s="50" t="str">
        <x:v>Pond Chorus</x:v>
      </x:c>
      <x:c r="E129" s="50" t="str">
        <x:v>Heal every living ally for 1.00 M. Any overhealing can fill the bowl within its single cap.</x:v>
      </x:c>
      <x:c r="F129" s="50" t="str">
        <x:v>Cast when trainer is below 60% HP or two allies are below 85%.</x:v>
      </x:c>
    </x:row>
    <x:row r="130" ht="38" customHeight="1">
      <x:c r="A130" s="49" t="n">
        <x:v>42</x:v>
      </x:c>
      <x:c r="B130" s="50" t="str">
        <x:v>Puffiend</x:v>
      </x:c>
      <x:c r="C130" s="49" t="n">
        <x:v>4</x:v>
      </x:c>
      <x:c r="D130" s="50" t="str">
        <x:v>Cinder Spit</x:v>
      </x:c>
      <x:c r="E130" s="50" t="str">
        <x:v>Deal 1.35 A physical damage and restore one Puff after resolving.</x:v>
      </x:c>
      <x:c r="F130" s="50" t="str">
        <x:v>Cast on the current legal target; no additional condition.</x:v>
      </x:c>
    </x:row>
    <x:row r="131" ht="38" customHeight="1">
      <x:c r="A131" s="49" t="n">
        <x:v>42</x:v>
      </x:c>
      <x:c r="B131" s="50" t="str">
        <x:v>Puffiend</x:v>
      </x:c>
      <x:c r="C131" s="49" t="n">
        <x:v>8</x:v>
      </x:c>
      <x:c r="D131" s="50" t="str">
        <x:v>Cheekguard</x:v>
      </x:c>
      <x:c r="E131" s="50" t="str">
        <x:v>Consume all Puffs; shield self for 0.60 A + 0.30 A per Puff for 3s.</x:v>
      </x:c>
      <x:c r="F131" s="50" t="str">
        <x:v>Cast while targeted or at 70% HP or lower.</x:v>
      </x:c>
    </x:row>
    <x:row r="132" ht="38" customHeight="1">
      <x:c r="A132" s="49" t="n">
        <x:v>42</x:v>
      </x:c>
      <x:c r="B132" s="50" t="str">
        <x:v>Puffiend</x:v>
      </x:c>
      <x:c r="C132" s="49" t="n">
        <x:v>12</x:v>
      </x:c>
      <x:c r="D132" s="50" t="str">
        <x:v>Popgun Barrage</x:v>
      </x:c>
      <x:c r="E132" s="50" t="str">
        <x:v>Deal five physical hits totaling 3.00 A; counts as one hit event for procs.</x:v>
      </x:c>
      <x:c r="F132" s="50" t="str">
        <x:v>Cast on the current legal target; no additional condition.</x:v>
      </x:c>
    </x:row>
    <x:row r="133" ht="47.5" customHeight="1">
      <x:c r="A133" s="49" t="n">
        <x:v>43</x:v>
      </x:c>
      <x:c r="B133" s="50" t="str">
        <x:v>Crucibulk</x:v>
      </x:c>
      <x:c r="C133" s="49" t="n">
        <x:v>4</x:v>
      </x:c>
      <x:c r="D133" s="50" t="str">
        <x:v>Molten Ladle</x:v>
      </x:c>
      <x:c r="E133" s="50" t="str">
        <x:v>Deal 1.30 M magic damage plus stored Slag, then gain a 0.30 M self-shield for 2s.</x:v>
      </x:c>
      <x:c r="F133" s="50" t="str">
        <x:v>Cast on the current legal target.</x:v>
      </x:c>
    </x:row>
    <x:row r="134" ht="47.5" customHeight="1">
      <x:c r="A134" s="49" t="n">
        <x:v>43</x:v>
      </x:c>
      <x:c r="B134" s="50" t="str">
        <x:v>Crucibulk</x:v>
      </x:c>
      <x:c r="C134" s="49" t="n">
        <x:v>8</x:v>
      </x:c>
      <x:c r="D134" s="50" t="str">
        <x:v>Pour a Protector</x:v>
      </x:c>
      <x:c r="E134" s="50" t="str">
        <x:v>Shield the lowest-HP% core ally for 1.00 M + 3% H + stored Slag for 3s; gain a 3% H self-shield for 2s.</x:v>
      </x:c>
      <x:c r="F134" s="50" t="str">
        <x:v>Cast when a core ally is targeted or at 75% HP or lower.</x:v>
      </x:c>
    </x:row>
    <x:row r="135" ht="122.5" customHeight="1">
      <x:c r="A135" s="49" t="n">
        <x:v>43</x:v>
      </x:c>
      <x:c r="B135" s="50" t="str">
        <x:v>Crucibulk</x:v>
      </x:c>
      <x:c r="C135" s="49" t="n">
        <x:v>8</x:v>
      </x:c>
      <x:c r="D135" s="50" t="str">
        <x:v>Cast a Kilnling</x:v>
      </x:c>
      <x:c r="E135" s="50" t="str">
        <x:v>Create one Kilnling beside the trainer for 5s. It has 8% H + 0.60 M + stored Slag HP, capped at 18% H total, and intercepts 20% of trainer direct HP damage. It also lobs a 0.20 M magic shot every 1.5s, first at 0.5s, at the owner's target when in its 3R reach. Maximum 1; the cap does not refund unused Slag.</x:v>
      </x:c>
      <x:c r="F135" s="50" t="str">
        <x:v>Cast with no Kilnling while a core ally is under threat. No minimum Slag requirement; do not wait for a large bank during the opening.</x:v>
      </x:c>
    </x:row>
    <x:row r="136" ht="47.5" customHeight="1">
      <x:c r="A136" s="49" t="n">
        <x:v>43</x:v>
      </x:c>
      <x:c r="B136" s="50" t="str">
        <x:v>Crucibulk</x:v>
      </x:c>
      <x:c r="C136" s="49" t="n">
        <x:v>12</x:v>
      </x:c>
      <x:c r="D136" s="50" t="str">
        <x:v>Crucible Overflow</x:v>
      </x:c>
      <x:c r="E136" s="50" t="str">
        <x:v>Deal 2.70 M magic damage plus stored Slag and heal Crucibulk for 5% H. Slag does not increase the heal.</x:v>
      </x:c>
      <x:c r="F136" s="50" t="str">
        <x:v>Cast on the current legal target.</x:v>
      </x:c>
    </x:row>
    <x:row r="137" ht="38" customHeight="1">
      <x:c r="A137" s="49" t="n">
        <x:v>44</x:v>
      </x:c>
      <x:c r="B137" s="50" t="str">
        <x:v>Starfrog</x:v>
      </x:c>
      <x:c r="C137" s="49" t="n">
        <x:v>4</x:v>
      </x:c>
      <x:c r="D137" s="50" t="str">
        <x:v>Star Skip</x:v>
      </x:c>
      <x:c r="E137" s="50" t="str">
        <x:v>Deal 1.30 M magic damage.</x:v>
      </x:c>
      <x:c r="F137" s="50" t="str">
        <x:v>Cast on the current legal target; no additional condition.</x:v>
      </x:c>
    </x:row>
    <x:row r="138" ht="38" customHeight="1">
      <x:c r="A138" s="49" t="n">
        <x:v>44</x:v>
      </x:c>
      <x:c r="B138" s="50" t="str">
        <x:v>Starfrog</x:v>
      </x:c>
      <x:c r="C138" s="49" t="n">
        <x:v>8</x:v>
      </x:c>
      <x:c r="D138" s="50" t="str">
        <x:v>Glass Constellation</x:v>
      </x:c>
      <x:c r="E138" s="50" t="str">
        <x:v>Gain a 0.90 M self-shield for 3s and one Star.</x:v>
      </x:c>
      <x:c r="F138" s="50" t="str">
        <x:v>Cast while targeted or at fewer than 2 Stars.</x:v>
      </x:c>
    </x:row>
    <x:row r="139" ht="47.5" customHeight="1">
      <x:c r="A139" s="49" t="n">
        <x:v>44</x:v>
      </x:c>
      <x:c r="B139" s="50" t="str">
        <x:v>Starfrog</x:v>
      </x:c>
      <x:c r="C139" s="49" t="n">
        <x:v>12</x:v>
      </x:c>
      <x:c r="D139" s="50" t="str">
        <x:v>Bellyful of Stars</x:v>
      </x:c>
      <x:c r="E139" s="50" t="str">
        <x:v>Deal 2.80 M magic damage; each Star consumed by this cast instead adds 0.30 M.</x:v>
      </x:c>
      <x:c r="F139" s="50" t="str">
        <x:v>Cast on the current legal target; no additional condition.</x:v>
      </x:c>
    </x:row>
    <x:row r="140" ht="38" customHeight="1">
      <x:c r="A140" s="49" t="n">
        <x:v>45</x:v>
      </x:c>
      <x:c r="B140" s="50" t="str">
        <x:v>Auroradrake</x:v>
      </x:c>
      <x:c r="C140" s="49" t="n">
        <x:v>4</x:v>
      </x:c>
      <x:c r="D140" s="50" t="str">
        <x:v>Dawnlash</x:v>
      </x:c>
      <x:c r="E140" s="50" t="str">
        <x:v>Deal 1.35 M magic damage.</x:v>
      </x:c>
      <x:c r="F140" s="50" t="str">
        <x:v>Cast on the current legal target; no additional condition.</x:v>
      </x:c>
    </x:row>
    <x:row r="141" ht="38" customHeight="1">
      <x:c r="A141" s="49" t="n">
        <x:v>45</x:v>
      </x:c>
      <x:c r="B141" s="50" t="str">
        <x:v>Auroradrake</x:v>
      </x:c>
      <x:c r="C141" s="49" t="n">
        <x:v>8</x:v>
      </x:c>
      <x:c r="D141" s="50" t="str">
        <x:v>Ribbon Gills</x:v>
      </x:c>
      <x:c r="E141" s="50" t="str">
        <x:v>Heal self for 0.80 M + 4% H and grant the trainer a 0.50 M shield for 3s.</x:v>
      </x:c>
      <x:c r="F141" s="50" t="str">
        <x:v>Cast when self is at 75% HP or lower, or trainer is at 65% HP or lower.</x:v>
      </x:c>
    </x:row>
    <x:row r="142" ht="47.5" customHeight="1">
      <x:c r="A142" s="49" t="n">
        <x:v>45</x:v>
      </x:c>
      <x:c r="B142" s="50" t="str">
        <x:v>Auroradrake</x:v>
      </x:c>
      <x:c r="C142" s="49" t="n">
        <x:v>12</x:v>
      </x:c>
      <x:c r="D142" s="50" t="str">
        <x:v>Aurora Sweep</x:v>
      </x:c>
      <x:c r="E142" s="50" t="str">
        <x:v>Deal 2.50 M magic damage and reduce the target's damage dealt by 12% for 3s.</x:v>
      </x:c>
      <x:c r="F142" s="50" t="str">
        <x:v>Cast on the current legal target; no additional condition.</x:v>
      </x:c>
    </x:row>
    <x:row r="143" ht="72.5" customHeight="1">
      <x:c r="A143" s="49" t="n">
        <x:v>46</x:v>
      </x:c>
      <x:c r="B143" s="50" t="str">
        <x:v>Cindertroop</x:v>
      </x:c>
      <x:c r="C143" s="49" t="n">
        <x:v>4</x:v>
      </x:c>
      <x:c r="D143" s="50" t="str">
        <x:v>Queen's Sting</x:v>
      </x:c>
      <x:c r="E143" s="50" t="str">
        <x:v>Deal 1.25 A physical damage and mark the target for 3s. Cindertroop's Soldier Ants gain +20 HIT against that mark; marking does not make them abandon a living target.</x:v>
      </x:c>
      <x:c r="F143" s="50" t="str">
        <x:v>Cast on the current legal target.</x:v>
      </x:c>
    </x:row>
    <x:row r="144" ht="110" customHeight="1">
      <x:c r="A144" s="49" t="n">
        <x:v>46</x:v>
      </x:c>
      <x:c r="B144" s="50" t="str">
        <x:v>Cindertroop</x:v>
      </x:c>
      <x:c r="C144" s="49" t="n">
        <x:v>8</x:v>
      </x:c>
      <x:c r="D144" s="50" t="str">
        <x:v>Brood Call</x:v>
      </x:c>
      <x:c r="E144" s="50" t="str">
        <x:v>Summon enough Soldier Ants to reach 3. Each new ant has 4% H HP, lives 6s, and attacks for 0.12 A physical damage every 1s after a 0.5s wind-up. Existing ants are not healed or refreshed. New ants take the queen's current target if reachable; otherwise the nearest legal enemy.</x:v>
      </x:c>
      <x:c r="F144" s="50" t="str">
        <x:v>Cast when a legal enemy is present and fewer than 3 Soldier Ants are alive. Prefer this deployment before other damaging actives when equally ready.</x:v>
      </x:c>
    </x:row>
    <x:row r="145" ht="110" customHeight="1">
      <x:c r="A145" s="49" t="n">
        <x:v>46</x:v>
      </x:c>
      <x:c r="B145" s="50" t="str">
        <x:v>Cindertroop</x:v>
      </x:c>
      <x:c r="C145" s="49" t="n">
        <x:v>8</x:v>
      </x:c>
      <x:c r="D145" s="50" t="str">
        <x:v>Swarm Screen</x:v>
      </x:c>
      <x:c r="E145" s="50" t="str">
        <x:v>Summon one Shield Ant beside the trainer for 4s with 12% H HP; also shield Cindertroop for 5% H for 3s. While alive, the Shield Ant intercepts 20% of the trainer's direct HP damage using the single-interceptor rule. It cannot attack, taunt, or intercept area damage. Maximum 1.</x:v>
      </x:c>
      <x:c r="F145" s="50" t="str">
        <x:v>Cast when the trainer is targeted or below 75% HP, and no Shield Ant is alive. Does not require Soldier Ants.</x:v>
      </x:c>
    </x:row>
    <x:row r="146" ht="110" customHeight="1">
      <x:c r="A146" s="49" t="n">
        <x:v>46</x:v>
      </x:c>
      <x:c r="B146" s="50" t="str">
        <x:v>Cindertroop</x:v>
      </x:c>
      <x:c r="C146" s="49" t="n">
        <x:v>12</x:v>
      </x:c>
      <x:c r="D146" s="50" t="str">
        <x:v>Royal Mandate</x:v>
      </x:c>
      <x:c r="E146" s="50" t="str">
        <x:v>Deal 2.00 A physical damage. Each living Soldier Ant already attacking that same target performs one bonus strike for 0.25 A, maximum 3 bonus strikes, if it can still reach the target. These strikes do not reset its normal attack clock. Missing ants do not turn into extra queen damage.</x:v>
      </x:c>
      <x:c r="F146" s="50" t="str">
        <x:v>Cast on the current legal target. If Brood Call is also ready and useful, deploy the brood first; otherwise do not wait for more ants.</x:v>
      </x:c>
    </x:row>
    <x:row r="147" ht="38" customHeight="1">
      <x:c r="A147" s="49" t="n">
        <x:v>47</x:v>
      </x:c>
      <x:c r="B147" s="50" t="str">
        <x:v>Cloverguard</x:v>
      </x:c>
      <x:c r="C147" s="49" t="n">
        <x:v>4</x:v>
      </x:c>
      <x:c r="D147" s="50" t="str">
        <x:v>Leafplate Bump</x:v>
      </x:c>
      <x:c r="E147" s="50" t="str">
        <x:v>Deal 1.15 A physical damage and gain +15 FLEE for 2s.</x:v>
      </x:c>
      <x:c r="F147" s="50" t="str">
        <x:v>Cast on the current legal target; no additional condition.</x:v>
      </x:c>
    </x:row>
    <x:row r="148" ht="38" customHeight="1">
      <x:c r="A148" s="49" t="n">
        <x:v>47</x:v>
      </x:c>
      <x:c r="B148" s="50" t="str">
        <x:v>Cloverguard</x:v>
      </x:c>
      <x:c r="C148" s="49" t="n">
        <x:v>8</x:v>
      </x:c>
      <x:c r="D148" s="50" t="str">
        <x:v>Clover Fold</x:v>
      </x:c>
      <x:c r="E148" s="50" t="str">
        <x:v>Gain +25 FLEE and a 7% H self-shield for 3s.</x:v>
      </x:c>
      <x:c r="F148" s="50" t="str">
        <x:v>Cast while targeted.</x:v>
      </x:c>
    </x:row>
    <x:row r="149" ht="38" customHeight="1">
      <x:c r="A149" s="49" t="n">
        <x:v>47</x:v>
      </x:c>
      <x:c r="B149" s="50" t="str">
        <x:v>Cloverguard</x:v>
      </x:c>
      <x:c r="C149" s="49" t="n">
        <x:v>12</x:v>
      </x:c>
      <x:c r="D149" s="50" t="str">
        <x:v>Four-Leaf Shelter</x:v>
      </x:c>
      <x:c r="E149" s="50" t="str">
        <x:v>Shield the trainer for 10% H for 3s and give Cloverguard one Clover.</x:v>
      </x:c>
      <x:c r="F149" s="50" t="str">
        <x:v>Cast when trainer is targeted or at 70% HP or lower.</x:v>
      </x:c>
    </x:row>
    <x:row r="150" ht="38" customHeight="1">
      <x:c r="A150" s="49" t="n">
        <x:v>48</x:v>
      </x:c>
      <x:c r="B150" s="50" t="str">
        <x:v>Reefvault</x:v>
      </x:c>
      <x:c r="C150" s="49" t="n">
        <x:v>4</x:v>
      </x:c>
      <x:c r="D150" s="50" t="str">
        <x:v>Branchleg Kick</x:v>
      </x:c>
      <x:c r="E150" s="50" t="str">
        <x:v>Deal 1.40 A physical damage. A stationary kick; no row change.</x:v>
      </x:c>
      <x:c r="F150" s="50" t="str">
        <x:v>Cast on the current legal target; no additional condition.</x:v>
      </x:c>
    </x:row>
    <x:row r="151" ht="38" customHeight="1">
      <x:c r="A151" s="49" t="n">
        <x:v>48</x:v>
      </x:c>
      <x:c r="B151" s="50" t="str">
        <x:v>Reefvault</x:v>
      </x:c>
      <x:c r="C151" s="49" t="n">
        <x:v>8</x:v>
      </x:c>
      <x:c r="D151" s="50" t="str">
        <x:v>Tendon Lock</x:v>
      </x:c>
      <x:c r="E151" s="50" t="str">
        <x:v>Gain a 0.90 A self-shield for 3s and +20 HIT.</x:v>
      </x:c>
      <x:c r="F151" s="50" t="str">
        <x:v>Cast while targeted or at 75% HP or lower.</x:v>
      </x:c>
    </x:row>
    <x:row r="152" ht="47.5" customHeight="1">
      <x:c r="A152" s="49" t="n">
        <x:v>48</x:v>
      </x:c>
      <x:c r="B152" s="50" t="str">
        <x:v>Reefvault</x:v>
      </x:c>
      <x:c r="C152" s="49" t="n">
        <x:v>12</x:v>
      </x:c>
      <x:c r="D152" s="50" t="str">
        <x:v>Shellwhite Breaker</x:v>
      </x:c>
      <x:c r="E152" s="50" t="str">
        <x:v>Deal 2.90 A physical damage; against a target with an active shield, deal 20% more shield damage only.</x:v>
      </x:c>
      <x:c r="F152" s="50" t="str">
        <x:v>Cast on the current legal target; no additional condition.</x:v>
      </x:c>
    </x:row>
    <x:row r="153" ht="38" customHeight="1">
      <x:c r="A153" s="49" t="n">
        <x:v>49</x:v>
      </x:c>
      <x:c r="B153" s="50" t="str">
        <x:v>Cinderwink</x:v>
      </x:c>
      <x:c r="C153" s="49" t="n">
        <x:v>4</x:v>
      </x:c>
      <x:c r="D153" s="50" t="str">
        <x:v>Soot Spark</x:v>
      </x:c>
      <x:c r="E153" s="50" t="str">
        <x:v>Deal 1.15 M magic damage and add one Ember.</x:v>
      </x:c>
      <x:c r="F153" s="50" t="str">
        <x:v>Cast on the current legal target; no additional condition.</x:v>
      </x:c>
    </x:row>
    <x:row r="154" ht="38" customHeight="1">
      <x:c r="A154" s="49" t="n">
        <x:v>49</x:v>
      </x:c>
      <x:c r="B154" s="50" t="str">
        <x:v>Cinderwink</x:v>
      </x:c>
      <x:c r="C154" s="49" t="n">
        <x:v>8</x:v>
      </x:c>
      <x:c r="D154" s="50" t="str">
        <x:v>Cup the Cinder</x:v>
      </x:c>
      <x:c r="E154" s="50" t="str">
        <x:v>Gain a 0.80 M self-shield for 3s and add one Ember to the current target.</x:v>
      </x:c>
      <x:c r="F154" s="50" t="str">
        <x:v>Cast with a living target; no extra gate.</x:v>
      </x:c>
    </x:row>
    <x:row r="155" ht="60" customHeight="1">
      <x:c r="A155" s="49" t="n">
        <x:v>49</x:v>
      </x:c>
      <x:c r="B155" s="50" t="str">
        <x:v>Cinderwink</x:v>
      </x:c>
      <x:c r="C155" s="49" t="n">
        <x:v>12</x:v>
      </x:c>
      <x:c r="D155" s="50" t="str">
        <x:v>Wink Out</x:v>
      </x:c>
      <x:c r="E155" s="50" t="str">
        <x:v>Deal 2.20 M magic damage plus 0.45 M per Ember consumed; consume all Embers.</x:v>
      </x:c>
      <x:c r="F155" s="50" t="str">
        <x:v>Cast at 2 or more Embers, or once 3s have elapsed since battle start/current normal target acquisition.</x:v>
      </x:c>
    </x:row>
    <x:row r="156" ht="38" customHeight="1">
      <x:c r="A156" s="49" t="n">
        <x:v>50</x:v>
      </x:c>
      <x:c r="B156" s="50" t="str">
        <x:v>Leafmantis</x:v>
      </x:c>
      <x:c r="C156" s="49" t="n">
        <x:v>4</x:v>
      </x:c>
      <x:c r="D156" s="50" t="str">
        <x:v>Budblade</x:v>
      </x:c>
      <x:c r="E156" s="50" t="str">
        <x:v>Deal 1.40 A physical damage.</x:v>
      </x:c>
      <x:c r="F156" s="50" t="str">
        <x:v>Cast on the current legal target; no additional condition.</x:v>
      </x:c>
    </x:row>
    <x:row r="157" ht="38" customHeight="1">
      <x:c r="A157" s="49" t="n">
        <x:v>50</x:v>
      </x:c>
      <x:c r="B157" s="50" t="str">
        <x:v>Leafmantis</x:v>
      </x:c>
      <x:c r="C157" s="49" t="n">
        <x:v>8</x:v>
      </x:c>
      <x:c r="D157" s="50" t="str">
        <x:v>Close the Leaves</x:v>
      </x:c>
      <x:c r="E157" s="50" t="str">
        <x:v>Gain a 0.80 A self-shield and +20 FLEE for 3s; activates Folded Ambush.</x:v>
      </x:c>
      <x:c r="F157" s="50" t="str">
        <x:v>Cast while targeted or without Ambush.</x:v>
      </x:c>
    </x:row>
    <x:row r="158" ht="47.5" customHeight="1">
      <x:c r="A158" s="49" t="n">
        <x:v>50</x:v>
      </x:c>
      <x:c r="B158" s="50" t="str">
        <x:v>Leafmantis</x:v>
      </x:c>
      <x:c r="C158" s="49" t="n">
        <x:v>12</x:v>
      </x:c>
      <x:c r="D158" s="50" t="str">
        <x:v>Unfurling Cut</x:v>
      </x:c>
      <x:c r="E158" s="50" t="str">
        <x:v>Deal 2.80 A physical damage and reduce target physical mitigation by 6 percentage points for 3s.</x:v>
      </x:c>
      <x:c r="F158" s="50" t="str">
        <x:v>Cast on the current legal target; no additional condition.</x:v>
      </x:c>
    </x:row>
    <x:row r="159" ht="38" customHeight="1">
      <x:c r="A159" s="49" t="n">
        <x:v>51</x:v>
      </x:c>
      <x:c r="B159" s="50" t="str">
        <x:v>Lumimoth</x:v>
      </x:c>
      <x:c r="C159" s="49" t="n">
        <x:v>4</x:v>
      </x:c>
      <x:c r="D159" s="50" t="str">
        <x:v>Lantern Dust</x:v>
      </x:c>
      <x:c r="E159" s="50" t="str">
        <x:v>Deal 1.05 M magic damage and reduce the target's FLEE by 20 for 3s.</x:v>
      </x:c>
      <x:c r="F159" s="50" t="str">
        <x:v>Cast on the current legal target.</x:v>
      </x:c>
    </x:row>
    <x:row r="160" ht="47.5" customHeight="1">
      <x:c r="A160" s="49" t="n">
        <x:v>51</x:v>
      </x:c>
      <x:c r="B160" s="50" t="str">
        <x:v>Lumimoth</x:v>
      </x:c>
      <x:c r="C160" s="49" t="n">
        <x:v>8</x:v>
      </x:c>
      <x:c r="D160" s="50" t="str">
        <x:v>Hood of Light</x:v>
      </x:c>
      <x:c r="E160" s="50" t="str">
        <x:v>Shield the lowest-HP% core ally for 1.00 M for 3s and remove Blind, if present.</x:v>
      </x:c>
      <x:c r="F160" s="50" t="str">
        <x:v>Cast when a core ally is Blinded, targeted, or at 75% HP or lower.</x:v>
      </x:c>
    </x:row>
    <x:row r="161" ht="147.5" customHeight="1">
      <x:c r="A161" s="49" t="n">
        <x:v>51</x:v>
      </x:c>
      <x:c r="B161" s="50" t="str">
        <x:v>Lumimoth</x:v>
      </x:c>
      <x:c r="C161" s="49" t="n">
        <x:v>12</x:v>
      </x:c>
      <x:c r="D161" s="50" t="str">
        <x:v>Two Lanterns</x:v>
      </x:c>
      <x:c r="E161" s="50" t="str">
        <x:v>Place up to two Light Beacons for 5s, each with 5% H HP and a 1.5R radius. Place one beside the trainer and the other beside the other allied monster, if alive. On placement, each beacon shields its designated core ally for 0.55 M for 3s. Core allies in a beacon's radius deal 10% more basic-attack damage and qualify for Guiding Lanterns' bonus HIT. Overlapping beacon effects never stack.</x:v>
      </x:c>
      <x:c r="F161" s="50" t="str">
        <x:v>Cast when at least one other core ally is attacking or targeted and no Light Beacon is alive. With only the trainer remaining, place one beacon only.</x:v>
      </x:c>
    </x:row>
    <x:row r="162" ht="38" customHeight="1">
      <x:c r="A162" s="49" t="n">
        <x:v>52</x:v>
      </x:c>
      <x:c r="B162" s="50" t="str">
        <x:v>Mirrormantis</x:v>
      </x:c>
      <x:c r="C162" s="49" t="n">
        <x:v>4</x:v>
      </x:c>
      <x:c r="D162" s="50" t="str">
        <x:v>Mirror Edge</x:v>
      </x:c>
      <x:c r="E162" s="50" t="str">
        <x:v>Deal 1.35 A physical damage and gain a 0.25 A self-shield for 2s.</x:v>
      </x:c>
      <x:c r="F162" s="50" t="str">
        <x:v>Cast on the current legal target; no additional condition.</x:v>
      </x:c>
    </x:row>
    <x:row r="163" ht="47.5" customHeight="1">
      <x:c r="A163" s="49" t="n">
        <x:v>52</x:v>
      </x:c>
      <x:c r="B163" s="50" t="str">
        <x:v>Mirrormantis</x:v>
      </x:c>
      <x:c r="C163" s="49" t="n">
        <x:v>8</x:v>
      </x:c>
      <x:c r="D163" s="50" t="str">
        <x:v>Perfect Angle</x:v>
      </x:c>
      <x:c r="E163" s="50" t="str">
        <x:v>Gain a 1.00 A self-shield for 3s; next direct active received while it lasts deals 20% less damage.</x:v>
      </x:c>
      <x:c r="F163" s="50" t="str">
        <x:v>Cast while targeted.</x:v>
      </x:c>
    </x:row>
    <x:row r="164" ht="47.5" customHeight="1">
      <x:c r="A164" s="49" t="n">
        <x:v>52</x:v>
      </x:c>
      <x:c r="B164" s="50" t="str">
        <x:v>Mirrormantis</x:v>
      </x:c>
      <x:c r="C164" s="49" t="n">
        <x:v>12</x:v>
      </x:c>
      <x:c r="D164" s="50" t="str">
        <x:v>Shattered Reflection</x:v>
      </x:c>
      <x:c r="E164" s="50" t="str">
        <x:v>Deal 2.80 A physical damage; if a self-shield remains at cast start, add 0.40 A.</x:v>
      </x:c>
      <x:c r="F164" s="50" t="str">
        <x:v>Cast on the current legal target; no additional condition.</x:v>
      </x:c>
    </x:row>
    <x:row r="165" ht="38" customHeight="1">
      <x:c r="A165" s="49" t="n">
        <x:v>53</x:v>
      </x:c>
      <x:c r="B165" s="50" t="str">
        <x:v>Prismspear</x:v>
      </x:c>
      <x:c r="C165" s="49" t="n">
        <x:v>4</x:v>
      </x:c>
      <x:c r="D165" s="50" t="str">
        <x:v>Facet Lance</x:v>
      </x:c>
      <x:c r="E165" s="50" t="str">
        <x:v>Deal 1.40 A physical damage.</x:v>
      </x:c>
      <x:c r="F165" s="50" t="str">
        <x:v>Cast on the current legal target; no additional condition.</x:v>
      </x:c>
    </x:row>
    <x:row r="166" ht="47.5" customHeight="1">
      <x:c r="A166" s="49" t="n">
        <x:v>53</x:v>
      </x:c>
      <x:c r="B166" s="50" t="str">
        <x:v>Prismspear</x:v>
      </x:c>
      <x:c r="C166" s="49" t="n">
        <x:v>8</x:v>
      </x:c>
      <x:c r="D166" s="50" t="str">
        <x:v>Refracting Edge</x:v>
      </x:c>
      <x:c r="E166" s="50" t="str">
        <x:v>Deal 1.00 A physical damage plus 0.80 A magic damage to the same target. Only the physical portion can crit.</x:v>
      </x:c>
      <x:c r="F166" s="50" t="str">
        <x:v>Cast on the current legal target; no additional condition.</x:v>
      </x:c>
    </x:row>
    <x:row r="167" ht="47.5" customHeight="1">
      <x:c r="A167" s="49" t="n">
        <x:v>53</x:v>
      </x:c>
      <x:c r="B167" s="50" t="str">
        <x:v>Prismspear</x:v>
      </x:c>
      <x:c r="C167" s="49" t="n">
        <x:v>12</x:v>
      </x:c>
      <x:c r="D167" s="50" t="str">
        <x:v>Spectrum Skewer</x:v>
      </x:c>
      <x:c r="E167" s="50" t="str">
        <x:v>Deal 1.60 A physical damage plus 1.50 A magic damage to the current target. It does not pierce to the back row.</x:v>
      </x:c>
      <x:c r="F167" s="50" t="str">
        <x:v>Cast on the current legal target; no additional condition.</x:v>
      </x:c>
    </x:row>
    <x:row r="168" ht="38" customHeight="1">
      <x:c r="A168" s="49" t="n">
        <x:v>54</x:v>
      </x:c>
      <x:c r="B168" s="50" t="str">
        <x:v>Resinrook</x:v>
      </x:c>
      <x:c r="C168" s="49" t="n">
        <x:v>4</x:v>
      </x:c>
      <x:c r="D168" s="50" t="str">
        <x:v>Amber Fist</x:v>
      </x:c>
      <x:c r="E168" s="50" t="str">
        <x:v>Deal 1.20 A physical damage; extend existing Resin on that target to 3s.</x:v>
      </x:c>
      <x:c r="F168" s="50" t="str">
        <x:v>Cast on the current legal target.</x:v>
      </x:c>
    </x:row>
    <x:row r="169" ht="38" customHeight="1">
      <x:c r="A169" s="49" t="n">
        <x:v>54</x:v>
      </x:c>
      <x:c r="B169" s="50" t="str">
        <x:v>Resinrook</x:v>
      </x:c>
      <x:c r="C169" s="49" t="n">
        <x:v>8</x:v>
      </x:c>
      <x:c r="D169" s="50" t="str">
        <x:v>Seal the Cracks</x:v>
      </x:c>
      <x:c r="E169" s="50" t="str">
        <x:v>Gain a 12% H self-shield for 3s.</x:v>
      </x:c>
      <x:c r="F169" s="50" t="str">
        <x:v>Cast while targeted and without a self-shield of at least 5% H.</x:v>
      </x:c>
    </x:row>
    <x:row r="170" ht="185" customHeight="1">
      <x:c r="A170" s="49" t="n">
        <x:v>54</x:v>
      </x:c>
      <x:c r="B170" s="50" t="str">
        <x:v>Resinrook</x:v>
      </x:c>
      <x:c r="C170" s="49" t="n">
        <x:v>12</x:v>
      </x:c>
      <x:c r="D170" s="50" t="str">
        <x:v>Resin Bastion</x:v>
      </x:c>
      <x:c r="E170" s="50" t="str">
        <x:v>Place one Resin Screen for 5s with 20% H HP on a clear line between the trainer and a threatening ranged enemy; length 2R. Each blockable, non-piercing single-target projectile crossing that segment damages the screen instead of its intended target. Compute that impact once against the screen's zero defenses; if it breaks, residual projectile power continues to the original target and is mitigated there once. It does not block melee, beams, ground effects, explosions, friendly attacks, or movement.</x:v>
      </x:c>
      <x:c r="F170" s="50" t="str">
        <x:v>Cast when a blockable projectile attacker threatens the trainer, a valid intervening segment exists, and no Resin Screen is alive. Do not deploy merely because a melee boss exists.</x:v>
      </x:c>
    </x:row>
    <x:row r="171" ht="60" customHeight="1">
      <x:c r="A171" s="49" t="n">
        <x:v>55</x:v>
      </x:c>
      <x:c r="B171" s="50" t="str">
        <x:v>Saffrune</x:v>
      </x:c>
      <x:c r="C171" s="49" t="n">
        <x:v>4</x:v>
      </x:c>
      <x:c r="D171" s="50" t="str">
        <x:v>Saffron Script</x:v>
      </x:c>
      <x:c r="E171" s="50" t="str">
        <x:v>Deal 1.05 M magic damage; the next core-ally direct hit on that target within 2s gains +0.20 M magic damage, once.</x:v>
      </x:c>
      <x:c r="F171" s="50" t="str">
        <x:v>Cast on the current legal target.</x:v>
      </x:c>
    </x:row>
    <x:row r="172" ht="147.5" customHeight="1">
      <x:c r="A172" s="49" t="n">
        <x:v>55</x:v>
      </x:c>
      <x:c r="B172" s="50" t="str">
        <x:v>Saffrune</x:v>
      </x:c>
      <x:c r="C172" s="49" t="n">
        <x:v>8</x:v>
      </x:c>
      <x:c r="D172" s="50" t="str">
        <x:v>Root Rune</x:v>
      </x:c>
      <x:c r="E172" s="50" t="str">
        <x:v>Place one Assault Rune for 5s with 7% H HP and a 2R radius covering the actively attacking trainer or, if none, the other monster. Core allies inside gain +20 HIT. A core ally's damaging active against an enemy adds 0.25 M magic damage to that active's primary target, with one shared 1s trigger cooldown and at most 4 triggers over the rune's lifetime. No extra copy of secondary hits.</x:v>
      </x:c>
      <x:c r="F172" s="50" t="str">
        <x:v>Cast when a core ally is attacking and no Assault Rune is alive.</x:v>
      </x:c>
    </x:row>
    <x:row r="173" ht="122.5" customHeight="1">
      <x:c r="A173" s="49" t="n">
        <x:v>55</x:v>
      </x:c>
      <x:c r="B173" s="50" t="str">
        <x:v>Saffrune</x:v>
      </x:c>
      <x:c r="C173" s="49" t="n">
        <x:v>12</x:v>
      </x:c>
      <x:c r="D173" s="50" t="str">
        <x:v>Petal Benediction</x:v>
      </x:c>
      <x:c r="E173" s="50" t="str">
        <x:v>Place one Ward Rune for 5s with 10% H HP and 2R radius around the most threatened core ally, trainer first on a tie. At 0s, 2s, and 4s, shield every living core ally currently in the radius for 0.40 M for 2s. Same-name ward shields refresh rather than add. Maximum 1 Ward Rune and 1 Assault Rune.</x:v>
      </x:c>
      <x:c r="F173" s="50" t="str">
        <x:v>Cast when a core ally is targeted or at 75% HP or lower and no Ward Rune is alive.</x:v>
      </x:c>
    </x:row>
    <x:row r="174" ht="38" customHeight="1">
      <x:c r="A174" s="49" t="n">
        <x:v>56</x:v>
      </x:c>
      <x:c r="B174" s="50" t="str">
        <x:v>Coalgrub</x:v>
      </x:c>
      <x:c r="C174" s="49" t="n">
        <x:v>4</x:v>
      </x:c>
      <x:c r="D174" s="50" t="str">
        <x:v>Cinder Gnaw</x:v>
      </x:c>
      <x:c r="E174" s="50" t="str">
        <x:v>Deal 1.35 A physical damage.</x:v>
      </x:c>
      <x:c r="F174" s="50" t="str">
        <x:v>Cast on the current legal target; no additional condition.</x:v>
      </x:c>
    </x:row>
    <x:row r="175" ht="47.5" customHeight="1">
      <x:c r="A175" s="49" t="n">
        <x:v>56</x:v>
      </x:c>
      <x:c r="B175" s="50" t="str">
        <x:v>Coalgrub</x:v>
      </x:c>
      <x:c r="C175" s="49" t="n">
        <x:v>8</x:v>
      </x:c>
      <x:c r="D175" s="50" t="str">
        <x:v>Vent the Coals</x:v>
      </x:c>
      <x:c r="E175" s="50" t="str">
        <x:v>Cleanse one self DoT and heal self for 8% H; gain +15 HIT for 3s.</x:v>
      </x:c>
      <x:c r="F175" s="50" t="str">
        <x:v>Cast with a DoT while at 75% HP or lower, or at 55% HP or lower without a DoT.</x:v>
      </x:c>
    </x:row>
    <x:row r="176" ht="38" customHeight="1">
      <x:c r="A176" s="49" t="n">
        <x:v>56</x:v>
      </x:c>
      <x:c r="B176" s="50" t="str">
        <x:v>Coalgrub</x:v>
      </x:c>
      <x:c r="C176" s="49" t="n">
        <x:v>12</x:v>
      </x:c>
      <x:c r="D176" s="50" t="str">
        <x:v>Coalbelly Slam</x:v>
      </x:c>
      <x:c r="E176" s="50" t="str">
        <x:v>Deal 2.70 A physical damage and gain a 6% H self-shield for 3s.</x:v>
      </x:c>
      <x:c r="F176" s="50" t="str">
        <x:v>Cast on the current legal target; no additional condition.</x:v>
      </x:c>
    </x:row>
    <x:row r="177" ht="38" customHeight="1">
      <x:c r="A177" s="49" t="n">
        <x:v>57</x:v>
      </x:c>
      <x:c r="B177" s="50" t="str">
        <x:v>Sunscarab</x:v>
      </x:c>
      <x:c r="C177" s="49" t="n">
        <x:v>4</x:v>
      </x:c>
      <x:c r="D177" s="50" t="str">
        <x:v>Sunpress</x:v>
      </x:c>
      <x:c r="E177" s="50" t="str">
        <x:v>Deal 1.15 M magic damage and heal the lowest-HP% ally for 0.30 M.</x:v>
      </x:c>
      <x:c r="F177" s="50" t="str">
        <x:v>Cast on the current legal target; no additional condition.</x:v>
      </x:c>
    </x:row>
    <x:row r="178" ht="47.5" customHeight="1">
      <x:c r="A178" s="49" t="n">
        <x:v>57</x:v>
      </x:c>
      <x:c r="B178" s="50" t="str">
        <x:v>Sunscarab</x:v>
      </x:c>
      <x:c r="C178" s="49" t="n">
        <x:v>8</x:v>
      </x:c>
      <x:c r="D178" s="50" t="str">
        <x:v>Crescent Carapace</x:v>
      </x:c>
      <x:c r="E178" s="50" t="str">
        <x:v>Gain a shield equal to 8% H + 0.60 M for 3s; also shield the trainer for 0.50 M for 3s.</x:v>
      </x:c>
      <x:c r="F178" s="50" t="str">
        <x:v>Cast while targeted or trainer is at 70% HP or lower.</x:v>
      </x:c>
    </x:row>
    <x:row r="179" ht="47.5" customHeight="1">
      <x:c r="A179" s="49" t="n">
        <x:v>57</x:v>
      </x:c>
      <x:c r="B179" s="50" t="str">
        <x:v>Sunscarab</x:v>
      </x:c>
      <x:c r="C179" s="49" t="n">
        <x:v>12</x:v>
      </x:c>
      <x:c r="D179" s="50" t="str">
        <x:v>Dawnshell</x:v>
      </x:c>
      <x:c r="E179" s="50" t="str">
        <x:v>Heal every living ally for 0.90 M and heal self for an additional 4% H.</x:v>
      </x:c>
      <x:c r="F179" s="50" t="str">
        <x:v>Cast when self is below 65% HP, trainer below 60%, or two allies below 80%.</x:v>
      </x:c>
    </x:row>
    <x:row r="180" ht="38" customHeight="1">
      <x:c r="A180" s="49" t="n">
        <x:v>58</x:v>
      </x:c>
      <x:c r="B180" s="50" t="str">
        <x:v>Brontobug</x:v>
      </x:c>
      <x:c r="C180" s="49" t="n">
        <x:v>4</x:v>
      </x:c>
      <x:c r="D180" s="50" t="str">
        <x:v>Drumhead Bash</x:v>
      </x:c>
      <x:c r="E180" s="50" t="str">
        <x:v>Deal 1.40 A physical damage.</x:v>
      </x:c>
      <x:c r="F180" s="50" t="str">
        <x:v>Cast on the current legal target; no additional condition.</x:v>
      </x:c>
    </x:row>
    <x:row r="181" ht="38" customHeight="1">
      <x:c r="A181" s="49" t="n">
        <x:v>58</x:v>
      </x:c>
      <x:c r="B181" s="50" t="str">
        <x:v>Brontobug</x:v>
      </x:c>
      <x:c r="C181" s="49" t="n">
        <x:v>8</x:v>
      </x:c>
      <x:c r="D181" s="50" t="str">
        <x:v>Battle Drumming</x:v>
      </x:c>
      <x:c r="E181" s="50" t="str">
        <x:v>All living allies gain +15 HIT and +8% physical damage for 3s.</x:v>
      </x:c>
      <x:c r="F181" s="50" t="str">
        <x:v>Cast when at least one ally is using physical attacks.</x:v>
      </x:c>
    </x:row>
    <x:row r="182" ht="38" customHeight="1">
      <x:c r="A182" s="49" t="n">
        <x:v>58</x:v>
      </x:c>
      <x:c r="B182" s="50" t="str">
        <x:v>Brontobug</x:v>
      </x:c>
      <x:c r="C182" s="49" t="n">
        <x:v>12</x:v>
      </x:c>
      <x:c r="D182" s="50" t="str">
        <x:v>Thunder Drum</x:v>
      </x:c>
      <x:c r="E182" s="50" t="str">
        <x:v>Deal 2.60 A physical damage and interrupt the target for 0.5s.</x:v>
      </x:c>
      <x:c r="F182" s="50" t="str">
        <x:v>Cast on the current legal target; no additional condition.</x:v>
      </x:c>
    </x:row>
    <x:row r="183" ht="38" customHeight="1">
      <x:c r="A183" s="49" t="n">
        <x:v>59</x:v>
      </x:c>
      <x:c r="B183" s="50" t="str">
        <x:v>Mournmantle</x:v>
      </x:c>
      <x:c r="C183" s="49" t="n">
        <x:v>4</x:v>
      </x:c>
      <x:c r="D183" s="50" t="str">
        <x:v>Mantle Thorn</x:v>
      </x:c>
      <x:c r="E183" s="50" t="str">
        <x:v>Deal 1.35 M magic damage.</x:v>
      </x:c>
      <x:c r="F183" s="50" t="str">
        <x:v>Cast on the current legal target; no additional condition.</x:v>
      </x:c>
    </x:row>
    <x:row r="184" ht="38" customHeight="1">
      <x:c r="A184" s="49" t="n">
        <x:v>59</x:v>
      </x:c>
      <x:c r="B184" s="50" t="str">
        <x:v>Mournmantle</x:v>
      </x:c>
      <x:c r="C184" s="49" t="n">
        <x:v>8</x:v>
      </x:c>
      <x:c r="D184" s="50" t="str">
        <x:v>Gathered Gloom</x:v>
      </x:c>
      <x:c r="E184" s="50" t="str">
        <x:v>Deal 1.80 M magic damage and gain a 0.60 M self-shield for 3s.</x:v>
      </x:c>
      <x:c r="F184" s="50" t="str">
        <x:v>Cast on the current legal target; no additional condition.</x:v>
      </x:c>
    </x:row>
    <x:row r="185" ht="47.5" customHeight="1">
      <x:c r="A185" s="49" t="n">
        <x:v>59</x:v>
      </x:c>
      <x:c r="B185" s="50" t="str">
        <x:v>Mournmantle</x:v>
      </x:c>
      <x:c r="C185" s="49" t="n">
        <x:v>12</x:v>
      </x:c>
      <x:c r="D185" s="50" t="str">
        <x:v>Elegy</x:v>
      </x:c>
      <x:c r="E185" s="50" t="str">
        <x:v>Deal 2.70 M magic damage; if target is below 50% HP, also shield the lowest-HP% ally for 0.60 M for 3s.</x:v>
      </x:c>
      <x:c r="F185" s="50" t="str">
        <x:v>Cast on the current legal target; no additional condition.</x:v>
      </x:c>
    </x:row>
    <x:row r="186" ht="47.5" customHeight="1">
      <x:c r="A186" s="49" t="n">
        <x:v>60</x:v>
      </x:c>
      <x:c r="B186" s="50" t="str">
        <x:v>Whistlepod</x:v>
      </x:c>
      <x:c r="C186" s="49" t="n">
        <x:v>4</x:v>
      </x:c>
      <x:c r="D186" s="50" t="str">
        <x:v>Signal Seed</x:v>
      </x:c>
      <x:c r="E186" s="50" t="str">
        <x:v>Deal 1.10 A physical damage and mark the target for 3s; allies gain +20 HIT against the mark.</x:v>
      </x:c>
      <x:c r="F186" s="50" t="str">
        <x:v>Cast on the current legal target; no additional condition.</x:v>
      </x:c>
    </x:row>
    <x:row r="187" ht="60" customHeight="1">
      <x:c r="A187" s="49" t="n">
        <x:v>60</x:v>
      </x:c>
      <x:c r="B187" s="50" t="str">
        <x:v>Whistlepod</x:v>
      </x:c>
      <x:c r="C187" s="49" t="n">
        <x:v>8</x:v>
      </x:c>
      <x:c r="D187" s="50" t="str">
        <x:v>Marching Whistle</x:v>
      </x:c>
      <x:c r="E187" s="50" t="str">
        <x:v>The other ally with the highest unbuffed primary attack gains a 12% shorter basic-attack interval for 3s. Beats extend duration.</x:v>
      </x:c>
      <x:c r="F187" s="50" t="str">
        <x:v>Cast when that ally is actively attacking.</x:v>
      </x:c>
    </x:row>
    <x:row r="188" ht="60" customHeight="1">
      <x:c r="A188" s="49" t="n">
        <x:v>60</x:v>
      </x:c>
      <x:c r="B188" s="50" t="str">
        <x:v>Whistlepod</x:v>
      </x:c>
      <x:c r="C188" s="49" t="n">
        <x:v>12</x:v>
      </x:c>
      <x:c r="D188" s="50" t="str">
        <x:v>Healing Refrain</x:v>
      </x:c>
      <x:c r="E188" s="50" t="str">
        <x:v>Heal the lowest-HP% ally for 1.60 M and shield it for 4% H for 3s. Beats amplify healing only; this is the optional MATK branch.</x:v>
      </x:c>
      <x:c r="F188" s="50" t="str">
        <x:v>Cast when an ally is at 70% HP or lower; trainer below 55% has priority.</x:v>
      </x:c>
    </x:row>
    <x:row r="189" ht="38" customHeight="1">
      <x:c r="A189" s="49" t="n">
        <x:v>61</x:v>
      </x:c>
      <x:c r="B189" s="50" t="str">
        <x:v>Moonweaver</x:v>
      </x:c>
      <x:c r="C189" s="49" t="n">
        <x:v>4</x:v>
      </x:c>
      <x:c r="D189" s="50" t="str">
        <x:v>Moonthread Needle</x:v>
      </x:c>
      <x:c r="E189" s="50" t="str">
        <x:v>Deal 1.20 M magic damage and apply Thread for 3s.</x:v>
      </x:c>
      <x:c r="F189" s="50" t="str">
        <x:v>Cast on the current legal target.</x:v>
      </x:c>
    </x:row>
    <x:row r="190" ht="38" customHeight="1">
      <x:c r="A190" s="49" t="n">
        <x:v>61</x:v>
      </x:c>
      <x:c r="B190" s="50" t="str">
        <x:v>Moonweaver</x:v>
      </x:c>
      <x:c r="C190" s="49" t="n">
        <x:v>8</x:v>
      </x:c>
      <x:c r="D190" s="50" t="str">
        <x:v>Silken Canopy</x:v>
      </x:c>
      <x:c r="E190" s="50" t="str">
        <x:v>Shield the lowest-HP% core ally for 1.15 M for 3s.</x:v>
      </x:c>
      <x:c r="F190" s="50" t="str">
        <x:v>Cast when a core ally is targeted or at 75% HP or lower.</x:v>
      </x:c>
    </x:row>
    <x:row r="191" ht="172.5" customHeight="1">
      <x:c r="A191" s="49" t="n">
        <x:v>61</x:v>
      </x:c>
      <x:c r="B191" s="50" t="str">
        <x:v>Moonweaver</x:v>
      </x:c>
      <x:c r="C191" s="49" t="n">
        <x:v>12</x:v>
      </x:c>
      <x:c r="D191" s="50" t="str">
        <x:v>Crescent Loom</x:v>
      </x:c>
      <x:c r="E191" s="50" t="str">
        <x:v>Place one Silk Anchor with 8% H HP for 5s; its fixed 2R web covers the current legal target. Immediately deal 1.20 M magic damage to up to 3 enemies in the web, current target first. At 1/2/3/4s, deal 0.25 M to up to 3 enemies still in the web and refresh Thread for 3s. Affected enemies have 12% longer basic-attack intervals while inside. No movement slow, forced relocation, or entry trigger; destroying the anchor removes the zone and its interval penalty.</x:v>
      </x:c>
      <x:c r="F191" s="50" t="str">
        <x:v>Cast with a legal enemy in the proposed web, even if it is the only enemy, and no Silk Anchor alive.</x:v>
      </x:c>
    </x:row>
    <x:row r="192" ht="38" customHeight="1">
      <x:c r="A192" s="49" t="n">
        <x:v>62</x:v>
      </x:c>
      <x:c r="B192" s="50" t="str">
        <x:v>Pearlweaver</x:v>
      </x:c>
      <x:c r="C192" s="49" t="n">
        <x:v>4</x:v>
      </x:c>
      <x:c r="D192" s="50" t="str">
        <x:v>Pearl Prick</x:v>
      </x:c>
      <x:c r="E192" s="50" t="str">
        <x:v>Deal 1.35 A physical damage.</x:v>
      </x:c>
      <x:c r="F192" s="50" t="str">
        <x:v>Cast on the current legal target; no additional condition.</x:v>
      </x:c>
    </x:row>
    <x:row r="193" ht="47.5" customHeight="1">
      <x:c r="A193" s="49" t="n">
        <x:v>62</x:v>
      </x:c>
      <x:c r="B193" s="50" t="str">
        <x:v>Pearlweaver</x:v>
      </x:c>
      <x:c r="C193" s="49" t="n">
        <x:v>8</x:v>
      </x:c>
      <x:c r="D193" s="50" t="str">
        <x:v>Polished Shell</x:v>
      </x:c>
      <x:c r="E193" s="50" t="str">
        <x:v>Gain a 0.90 A self-shield for 3s and +10 percentage points of CRIT chance for 3s.</x:v>
      </x:c>
      <x:c r="F193" s="50" t="str">
        <x:v>Cast while targeted or when Polished Patience has reached +8 points.</x:v>
      </x:c>
    </x:row>
    <x:row r="194" ht="60" customHeight="1">
      <x:c r="A194" s="49" t="n">
        <x:v>62</x:v>
      </x:c>
      <x:c r="B194" s="50" t="str">
        <x:v>Pearlweaver</x:v>
      </x:c>
      <x:c r="C194" s="49" t="n">
        <x:v>12</x:v>
      </x:c>
      <x:c r="D194" s="50" t="str">
        <x:v>String of Pearls</x:v>
      </x:c>
      <x:c r="E194" s="50" t="str">
        <x:v>Deal three physical hits totaling 2.90 A, with one shared crit roll. On a crit, gain a 0.50 A self-shield for 2s.</x:v>
      </x:c>
      <x:c r="F194" s="50" t="str">
        <x:v>Cast on the current legal target; no additional condition.</x:v>
      </x:c>
    </x:row>
    <x:row r="195" ht="38" customHeight="1">
      <x:c r="A195" s="49" t="n">
        <x:v>63</x:v>
      </x:c>
      <x:c r="B195" s="50" t="str">
        <x:v>Silkstep</x:v>
      </x:c>
      <x:c r="C195" s="49" t="n">
        <x:v>4</x:v>
      </x:c>
      <x:c r="D195" s="50" t="str">
        <x:v>Silkbone Jab</x:v>
      </x:c>
      <x:c r="E195" s="50" t="str">
        <x:v>Deal 1.35 A physical damage with +20 HIT.</x:v>
      </x:c>
      <x:c r="F195" s="50" t="str">
        <x:v>Cast on the current legal target; no additional condition.</x:v>
      </x:c>
    </x:row>
    <x:row r="196" ht="38" customHeight="1">
      <x:c r="A196" s="49" t="n">
        <x:v>63</x:v>
      </x:c>
      <x:c r="B196" s="50" t="str">
        <x:v>Silkstep</x:v>
      </x:c>
      <x:c r="C196" s="49" t="n">
        <x:v>8</x:v>
      </x:c>
      <x:c r="D196" s="50" t="str">
        <x:v>Loose Hem</x:v>
      </x:c>
      <x:c r="E196" s="50" t="str">
        <x:v>Gain +25 FLEE for 3s; next basic attack within 3s gains +0.40 A.</x:v>
      </x:c>
      <x:c r="F196" s="50" t="str">
        <x:v>Cast with a living current target.</x:v>
      </x:c>
    </x:row>
    <x:row r="197" ht="38" customHeight="1">
      <x:c r="A197" s="49" t="n">
        <x:v>63</x:v>
      </x:c>
      <x:c r="B197" s="50" t="str">
        <x:v>Silkstep</x:v>
      </x:c>
      <x:c r="C197" s="49" t="n">
        <x:v>12</x:v>
      </x:c>
      <x:c r="D197" s="50" t="str">
        <x:v>Severed Stitch</x:v>
      </x:c>
      <x:c r="E197" s="50" t="str">
        <x:v>Deal 2.80 A physical damage and reduce target HIT by 20 for 3s.</x:v>
      </x:c>
      <x:c r="F197" s="50" t="str">
        <x:v>Cast on the current legal target; no additional condition.</x:v>
      </x:c>
    </x:row>
    <x:row r="198" ht="38" customHeight="1">
      <x:c r="A198" s="49" t="n">
        <x:v>64</x:v>
      </x:c>
      <x:c r="B198" s="50" t="str">
        <x:v>Grinroot</x:v>
      </x:c>
      <x:c r="C198" s="49" t="n">
        <x:v>4</x:v>
      </x:c>
      <x:c r="D198" s="50" t="str">
        <x:v>Rootknuckle</x:v>
      </x:c>
      <x:c r="E198" s="50" t="str">
        <x:v>Deal 1.30 A physical damage and grow one Sprout after the hit.</x:v>
      </x:c>
      <x:c r="F198" s="50" t="str">
        <x:v>Cast on the current legal target; no additional condition.</x:v>
      </x:c>
    </x:row>
    <x:row r="199" ht="38" customHeight="1">
      <x:c r="A199" s="49" t="n">
        <x:v>64</x:v>
      </x:c>
      <x:c r="B199" s="50" t="str">
        <x:v>Grinroot</x:v>
      </x:c>
      <x:c r="C199" s="49" t="n">
        <x:v>8</x:v>
      </x:c>
      <x:c r="D199" s="50" t="str">
        <x:v>Grinning Guard</x:v>
      </x:c>
      <x:c r="E199" s="50" t="str">
        <x:v>Shield the trainer for 0.70 A + 4% H for 3s; consumes Sprouts.</x:v>
      </x:c>
      <x:c r="F199" s="50" t="str">
        <x:v>Cast when trainer is targeted or at 75% HP or lower.</x:v>
      </x:c>
    </x:row>
    <x:row r="200" ht="60" customHeight="1">
      <x:c r="A200" s="49" t="n">
        <x:v>64</x:v>
      </x:c>
      <x:c r="B200" s="50" t="str">
        <x:v>Grinroot</x:v>
      </x:c>
      <x:c r="C200" s="49" t="n">
        <x:v>12</x:v>
      </x:c>
      <x:c r="D200" s="50" t="str">
        <x:v>Wildroot Remedy</x:v>
      </x:c>
      <x:c r="E200" s="50" t="str">
        <x:v>Heal the lowest-HP% ally for 1.70 M and cleanse one DoT from it. Sprouts increase healing; this is the optional MATK branch.</x:v>
      </x:c>
      <x:c r="F200" s="50" t="str">
        <x:v>Cast when an ally is at 70% HP or lower, or has a DoT and is below 85%.</x:v>
      </x:c>
    </x:row>
    <x:row r="201" ht="47.5" customHeight="1">
      <x:c r="A201" s="49" t="n">
        <x:v>65</x:v>
      </x:c>
      <x:c r="B201" s="50" t="str">
        <x:v>Cloudfin</x:v>
      </x:c>
      <x:c r="C201" s="49" t="n">
        <x:v>4</x:v>
      </x:c>
      <x:c r="D201" s="50" t="str">
        <x:v>Bubble Sip</x:v>
      </x:c>
      <x:c r="E201" s="50" t="str">
        <x:v>Heal the lowest-HP% ally for 0.70 M.</x:v>
      </x:c>
      <x:c r="F201" s="50" t="str">
        <x:v>Cast when an ally is at 80% HP or lower or has pending Air Pocket damage.</x:v>
      </x:c>
    </x:row>
    <x:row r="202" ht="47.5" customHeight="1">
      <x:c r="A202" s="49" t="n">
        <x:v>65</x:v>
      </x:c>
      <x:c r="B202" s="50" t="str">
        <x:v>Cloudfin</x:v>
      </x:c>
      <x:c r="C202" s="49" t="n">
        <x:v>8</x:v>
      </x:c>
      <x:c r="D202" s="50" t="str">
        <x:v>Release the Air</x:v>
      </x:c>
      <x:c r="E202" s="50" t="str">
        <x:v>Heal the lowest-HP% ally for 1.25 M; add 0.40 M if it currently has pending Air Pocket damage.</x:v>
      </x:c>
      <x:c r="F202" s="50" t="str">
        <x:v>Prioritize an ally with pending Air Pocket damage; otherwise cast below 70% HP.</x:v>
      </x:c>
    </x:row>
    <x:row r="203" ht="38" customHeight="1">
      <x:c r="A203" s="49" t="n">
        <x:v>65</x:v>
      </x:c>
      <x:c r="B203" s="50" t="str">
        <x:v>Cloudfin</x:v>
      </x:c>
      <x:c r="C203" s="49" t="n">
        <x:v>12</x:v>
      </x:c>
      <x:c r="D203" s="50" t="str">
        <x:v>Buoyant Choir</x:v>
      </x:c>
      <x:c r="E203" s="50" t="str">
        <x:v>Heal all living allies for 0.85 M and give each a 0.40 M shield for 3s.</x:v>
      </x:c>
      <x:c r="F203" s="50" t="str">
        <x:v>Cast when trainer is below 60% HP or two allies are below 80%.</x:v>
      </x:c>
    </x:row>
    <x:row r="204" ht="38" customHeight="1">
      <x:c r="A204" s="49" t="n">
        <x:v>66</x:v>
      </x:c>
      <x:c r="B204" s="50" t="str">
        <x:v>Hexurchin</x:v>
      </x:c>
      <x:c r="C204" s="49" t="n">
        <x:v>4</x:v>
      </x:c>
      <x:c r="D204" s="50" t="str">
        <x:v>Hexaspine</x:v>
      </x:c>
      <x:c r="E204" s="50" t="str">
        <x:v>Deal 1.20 A physical damage and gain +15 HIT for 2s.</x:v>
      </x:c>
      <x:c r="F204" s="50" t="str">
        <x:v>Cast on the current legal target; no additional condition.</x:v>
      </x:c>
    </x:row>
    <x:row r="205" ht="60" customHeight="1">
      <x:c r="A205" s="49" t="n">
        <x:v>66</x:v>
      </x:c>
      <x:c r="B205" s="50" t="str">
        <x:v>Hexurchin</x:v>
      </x:c>
      <x:c r="C205" s="49" t="n">
        <x:v>8</x:v>
      </x:c>
      <x:c r="D205" s="50" t="str">
        <x:v>Lock the Facets</x:v>
      </x:c>
      <x:c r="E205" s="50" t="str">
        <x:v>Gain a 10% H self-shield for 3s and increase the flat plate reduction to 0.30 A for 3s; the 20%-of-hit cap remains.</x:v>
      </x:c>
      <x:c r="F205" s="50" t="str">
        <x:v>Cast while targeted.</x:v>
      </x:c>
    </x:row>
    <x:row r="206" ht="47.5" customHeight="1">
      <x:c r="A206" s="49" t="n">
        <x:v>66</x:v>
      </x:c>
      <x:c r="B206" s="50" t="str">
        <x:v>Hexurchin</x:v>
      </x:c>
      <x:c r="C206" s="49" t="n">
        <x:v>12</x:v>
      </x:c>
      <x:c r="D206" s="50" t="str">
        <x:v>Urchin Bastion</x:v>
      </x:c>
      <x:c r="E206" s="50" t="str">
        <x:v>Redirect 25% of trainer direct damage to Hexurchin for 3s and gain 15% magic damage reduction for 3s.</x:v>
      </x:c>
      <x:c r="F206" s="50" t="str">
        <x:v>Cast above 45% HP while trainer is targeted or below 65% HP.</x:v>
      </x:c>
    </x:row>
    <x:row r="207" ht="38" customHeight="1">
      <x:c r="A207" s="49" t="n">
        <x:v>67</x:v>
      </x:c>
      <x:c r="B207" s="50" t="str">
        <x:v>Dewloop</x:v>
      </x:c>
      <x:c r="C207" s="49" t="n">
        <x:v>4</x:v>
      </x:c>
      <x:c r="D207" s="50" t="str">
        <x:v>Droplet Stitch</x:v>
      </x:c>
      <x:c r="E207" s="50" t="str">
        <x:v>Heal the lowest-HP% ally for 0.70 M.</x:v>
      </x:c>
      <x:c r="F207" s="50" t="str">
        <x:v>Cast when an ally is at 80% HP or lower.</x:v>
      </x:c>
    </x:row>
    <x:row r="208" ht="47.5" customHeight="1">
      <x:c r="A208" s="49" t="n">
        <x:v>67</x:v>
      </x:c>
      <x:c r="B208" s="50" t="str">
        <x:v>Dewloop</x:v>
      </x:c>
      <x:c r="C208" s="49" t="n">
        <x:v>8</x:v>
      </x:c>
      <x:c r="D208" s="50" t="str">
        <x:v>Ring of Return</x:v>
      </x:c>
      <x:c r="E208" s="50" t="str">
        <x:v>Heal the lowest-HP% ally for 1.25 M and shield that same ally for 0.35 M for 3s.</x:v>
      </x:c>
      <x:c r="F208" s="50" t="str">
        <x:v>Cast when an ally is at 75% HP or lower.</x:v>
      </x:c>
    </x:row>
    <x:row r="209" ht="60" customHeight="1">
      <x:c r="A209" s="49" t="n">
        <x:v>67</x:v>
      </x:c>
      <x:c r="B209" s="50" t="str">
        <x:v>Dewloop</x:v>
      </x:c>
      <x:c r="C209" s="49" t="n">
        <x:v>12</x:v>
      </x:c>
      <x:c r="D209" s="50" t="str">
        <x:v>Return to Source</x:v>
      </x:c>
      <x:c r="E209" s="50" t="str">
        <x:v>Heal the lowest-HP% ally for 1.90 M. Turn 50% of this cast's overheal into a self-shield for 3s, capped at 0.70 M.</x:v>
      </x:c>
      <x:c r="F209" s="50" t="str">
        <x:v>Cast when an ally is at 65% HP or lower.</x:v>
      </x:c>
    </x:row>
    <x:row r="210" ht="38" customHeight="1">
      <x:c r="A210" s="49" t="n">
        <x:v>68</x:v>
      </x:c>
      <x:c r="B210" s="50" t="str">
        <x:v>Driftjelly</x:v>
      </x:c>
      <x:c r="C210" s="49" t="n">
        <x:v>4</x:v>
      </x:c>
      <x:c r="D210" s="50" t="str">
        <x:v>Nettle Ribbon</x:v>
      </x:c>
      <x:c r="E210" s="50" t="str">
        <x:v>Deal 1.25 M magic damage and apply Numb.</x:v>
      </x:c>
      <x:c r="F210" s="50" t="str">
        <x:v>Cast on the current legal target; no additional condition.</x:v>
      </x:c>
    </x:row>
    <x:row r="211" ht="60" customHeight="1">
      <x:c r="A211" s="49" t="n">
        <x:v>68</x:v>
      </x:c>
      <x:c r="B211" s="50" t="str">
        <x:v>Driftjelly</x:v>
      </x:c>
      <x:c r="C211" s="49" t="n">
        <x:v>8</x:v>
      </x:c>
      <x:c r="D211" s="50" t="str">
        <x:v>Jelly Veil</x:v>
      </x:c>
      <x:c r="E211" s="50" t="str">
        <x:v>Shield the lowest-HP% ally for 0.95 M for 3s. Its next critical direct hit received while the shield lasts deals 20% less damage.</x:v>
      </x:c>
      <x:c r="F211" s="50" t="str">
        <x:v>Cast when an ally is targeted or at 75% HP or lower.</x:v>
      </x:c>
    </x:row>
    <x:row r="212" ht="47.5" customHeight="1">
      <x:c r="A212" s="49" t="n">
        <x:v>68</x:v>
      </x:c>
      <x:c r="B212" s="50" t="str">
        <x:v>Driftjelly</x:v>
      </x:c>
      <x:c r="C212" s="49" t="n">
        <x:v>12</x:v>
      </x:c>
      <x:c r="D212" s="50" t="str">
        <x:v>Deep Sting</x:v>
      </x:c>
      <x:c r="E212" s="50" t="str">
        <x:v>Deal 2.70 M magic damage; against a Numb target, also reduce HIT by 20 for 3s.</x:v>
      </x:c>
      <x:c r="F212" s="50" t="str">
        <x:v>Cast on the current legal target; no additional condition.</x:v>
      </x:c>
    </x:row>
    <x:row r="213" ht="38" customHeight="1">
      <x:c r="A213" s="49" t="n">
        <x:v>69</x:v>
      </x:c>
      <x:c r="B213" s="50" t="str">
        <x:v>Snapglass</x:v>
      </x:c>
      <x:c r="C213" s="49" t="n">
        <x:v>4</x:v>
      </x:c>
      <x:c r="D213" s="50" t="str">
        <x:v>Prism Snap</x:v>
      </x:c>
      <x:c r="E213" s="50" t="str">
        <x:v>Deal 1.50 A physical damage.</x:v>
      </x:c>
      <x:c r="F213" s="50" t="str">
        <x:v>Cast on the current legal target; no additional condition.</x:v>
      </x:c>
    </x:row>
    <x:row r="214" ht="47.5" customHeight="1">
      <x:c r="A214" s="49" t="n">
        <x:v>69</x:v>
      </x:c>
      <x:c r="B214" s="50" t="str">
        <x:v>Snapglass</x:v>
      </x:c>
      <x:c r="C214" s="49" t="n">
        <x:v>8</x:v>
      </x:c>
      <x:c r="D214" s="50" t="str">
        <x:v>Claw Cock</x:v>
      </x:c>
      <x:c r="E214" s="50" t="str">
        <x:v>Gain +20 HIT for 3s; the next basic attack within 3s deals an additional 0.70 A physical damage.</x:v>
      </x:c>
      <x:c r="F214" s="50" t="str">
        <x:v>Cast with a living target and no unspent Claw Cock charge.</x:v>
      </x:c>
    </x:row>
    <x:row r="215" ht="47.5" customHeight="1">
      <x:c r="A215" s="49" t="n">
        <x:v>69</x:v>
      </x:c>
      <x:c r="B215" s="50" t="str">
        <x:v>Snapglass</x:v>
      </x:c>
      <x:c r="C215" s="49" t="n">
        <x:v>12</x:v>
      </x:c>
      <x:c r="D215" s="50" t="str">
        <x:v>Glass-Cracking Report</x:v>
      </x:c>
      <x:c r="E215" s="50" t="str">
        <x:v>Deal 3.10 A physical damage and reduce target physical mitigation by 5 percentage points for 3s.</x:v>
      </x:c>
      <x:c r="F215" s="50" t="str">
        <x:v>Cast on the current legal target; no additional condition.</x:v>
      </x:c>
    </x:row>
    <x:row r="216" ht="38" customHeight="1">
      <x:c r="A216" s="49" t="n">
        <x:v>70</x:v>
      </x:c>
      <x:c r="B216" s="50" t="str">
        <x:v>Kiteskulk</x:v>
      </x:c>
      <x:c r="C216" s="49" t="n">
        <x:v>4</x:v>
      </x:c>
      <x:c r="D216" s="50" t="str">
        <x:v>Shroud Needle</x:v>
      </x:c>
      <x:c r="E216" s="50" t="str">
        <x:v>Deal 1.35 M magic damage and spend Haunt normally.</x:v>
      </x:c>
      <x:c r="F216" s="50" t="str">
        <x:v>Cast on the current legal target; no additional condition.</x:v>
      </x:c>
    </x:row>
    <x:row r="217" ht="47.5" customHeight="1">
      <x:c r="A217" s="49" t="n">
        <x:v>70</x:v>
      </x:c>
      <x:c r="B217" s="50" t="str">
        <x:v>Kiteskulk</x:v>
      </x:c>
      <x:c r="C217" s="49" t="n">
        <x:v>8</x:v>
      </x:c>
      <x:c r="D217" s="50" t="str">
        <x:v>Funeral Fold</x:v>
      </x:c>
      <x:c r="E217" s="50" t="str">
        <x:v>Deal 1.80 M magic damage and reduce target healing received by 20% for 3s; consumes Haunt.</x:v>
      </x:c>
      <x:c r="F217" s="50" t="str">
        <x:v>Cast on the current legal target; no additional condition.</x:v>
      </x:c>
    </x:row>
    <x:row r="218" ht="47.5" customHeight="1">
      <x:c r="A218" s="49" t="n">
        <x:v>70</x:v>
      </x:c>
      <x:c r="B218" s="50" t="str">
        <x:v>Kiteskulk</x:v>
      </x:c>
      <x:c r="C218" s="49" t="n">
        <x:v>12</x:v>
      </x:c>
      <x:c r="D218" s="50" t="str">
        <x:v>Debt Collector</x:v>
      </x:c>
      <x:c r="E218" s="50" t="str">
        <x:v>Deal 2.90 M magic damage. Haunt consumed by this skill adds 25% more damage, still capped at 1.125 M.</x:v>
      </x:c>
      <x:c r="F218" s="50" t="str">
        <x:v>Cast on the current legal target; no additional condition.</x:v>
      </x:c>
    </x:row>
    <x:row r="219" ht="38" customHeight="1">
      <x:c r="A219" s="49" t="n">
        <x:v>71</x:v>
      </x:c>
      <x:c r="B219" s="50" t="str">
        <x:v>Lotusmanta</x:v>
      </x:c>
      <x:c r="C219" s="49" t="n">
        <x:v>4</x:v>
      </x:c>
      <x:c r="D219" s="50" t="str">
        <x:v>Petal Sip</x:v>
      </x:c>
      <x:c r="E219" s="50" t="str">
        <x:v>Heal the lowest-HP% ally for 0.65 M and self for 0.20 M.</x:v>
      </x:c>
      <x:c r="F219" s="50" t="str">
        <x:v>Cast when an ally is at 80% HP or lower.</x:v>
      </x:c>
    </x:row>
    <x:row r="220" ht="38" customHeight="1">
      <x:c r="A220" s="49" t="n">
        <x:v>71</x:v>
      </x:c>
      <x:c r="B220" s="50" t="str">
        <x:v>Lotusmanta</x:v>
      </x:c>
      <x:c r="C220" s="49" t="n">
        <x:v>8</x:v>
      </x:c>
      <x:c r="D220" s="50" t="str">
        <x:v>Layered Petals</x:v>
      </x:c>
      <x:c r="E220" s="50" t="str">
        <x:v>Shield both other living allies for 0.75 M for 3s.</x:v>
      </x:c>
      <x:c r="F220" s="50" t="str">
        <x:v>Cast when trainer is targeted or both other allies are below 85% HP.</x:v>
      </x:c>
    </x:row>
    <x:row r="221" ht="47.5" customHeight="1">
      <x:c r="A221" s="49" t="n">
        <x:v>71</x:v>
      </x:c>
      <x:c r="B221" s="50" t="str">
        <x:v>Lotusmanta</x:v>
      </x:c>
      <x:c r="C221" s="49" t="n">
        <x:v>12</x:v>
      </x:c>
      <x:c r="D221" s="50" t="str">
        <x:v>Serene Tide</x:v>
      </x:c>
      <x:c r="E221" s="50" t="str">
        <x:v>Heal all living allies for 0.85 M and cleanse one DoT from each.</x:v>
      </x:c>
      <x:c r="F221" s="50" t="str">
        <x:v>Cast when trainer is below 60% HP, two allies are below 80%, or two allies carry DoTs.</x:v>
      </x:c>
    </x:row>
    <x:row r="222" ht="38" customHeight="1">
      <x:c r="A222" s="49" t="n">
        <x:v>72</x:v>
      </x:c>
      <x:c r="B222" s="50" t="str">
        <x:v>Mistmelt</x:v>
      </x:c>
      <x:c r="C222" s="49" t="n">
        <x:v>4</x:v>
      </x:c>
      <x:c r="D222" s="50" t="str">
        <x:v>Mistfist</x:v>
      </x:c>
      <x:c r="E222" s="50" t="str">
        <x:v>Deal 1.35 A physical damage.</x:v>
      </x:c>
      <x:c r="F222" s="50" t="str">
        <x:v>Cast on the current legal target; no additional condition.</x:v>
      </x:c>
    </x:row>
    <x:row r="223" ht="60" customHeight="1">
      <x:c r="A223" s="49" t="n">
        <x:v>72</x:v>
      </x:c>
      <x:c r="B223" s="50" t="str">
        <x:v>Mistmelt</x:v>
      </x:c>
      <x:c r="C223" s="49" t="n">
        <x:v>8</x:v>
      </x:c>
      <x:c r="D223" s="50" t="str">
        <x:v>Close the Hollow</x:v>
      </x:c>
      <x:c r="E223" s="50" t="str">
        <x:v>Gain a 10% H self-shield for 3s; suspend Hollow Body's extra magic damage taken while this shield remains.</x:v>
      </x:c>
      <x:c r="F223" s="50" t="str">
        <x:v>Cast while targeted or at 70% HP or lower.</x:v>
      </x:c>
    </x:row>
    <x:row r="224" ht="47.5" customHeight="1">
      <x:c r="A224" s="49" t="n">
        <x:v>72</x:v>
      </x:c>
      <x:c r="B224" s="50" t="str">
        <x:v>Mistmelt</x:v>
      </x:c>
      <x:c r="C224" s="49" t="n">
        <x:v>12</x:v>
      </x:c>
      <x:c r="D224" s="50" t="str">
        <x:v>Condensed Blow</x:v>
      </x:c>
      <x:c r="E224" s="50" t="str">
        <x:v>Deal 2.70 A physical damage and reduce the target's basic-attack damage by 15% for 3s.</x:v>
      </x:c>
      <x:c r="F224" s="50" t="str">
        <x:v>Cast on the current legal target; no additional condition.</x:v>
      </x:c>
    </x:row>
    <x:row r="225" ht="38" customHeight="1">
      <x:c r="A225" s="49" t="n">
        <x:v>73</x:v>
      </x:c>
      <x:c r="B225" s="50" t="str">
        <x:v>Cairnclamp</x:v>
      </x:c>
      <x:c r="C225" s="49" t="n">
        <x:v>4</x:v>
      </x:c>
      <x:c r="D225" s="50" t="str">
        <x:v>Arch-Arm Clamp</x:v>
      </x:c>
      <x:c r="E225" s="50" t="str">
        <x:v>Deal 1.15 A physical damage and set Grip duration to 3s.</x:v>
      </x:c>
      <x:c r="F225" s="50" t="str">
        <x:v>Cast on the current legal target; no additional condition.</x:v>
      </x:c>
    </x:row>
    <x:row r="226" ht="47.5" customHeight="1">
      <x:c r="A226" s="49" t="n">
        <x:v>73</x:v>
      </x:c>
      <x:c r="B226" s="50" t="str">
        <x:v>Cairnclamp</x:v>
      </x:c>
      <x:c r="C226" s="49" t="n">
        <x:v>8</x:v>
      </x:c>
      <x:c r="D226" s="50" t="str">
        <x:v>Two-Handed Hold</x:v>
      </x:c>
      <x:c r="E226" s="50" t="str">
        <x:v>Deal 1.50 A physical damage and taunt that target for 2s if it is reachable; gain 10% damage reduction for 2s.</x:v>
      </x:c>
      <x:c r="F226" s="50" t="str">
        <x:v>Cast on the current legal target; no additional condition.</x:v>
      </x:c>
    </x:row>
    <x:row r="227" ht="47.5" customHeight="1">
      <x:c r="A227" s="49" t="n">
        <x:v>73</x:v>
      </x:c>
      <x:c r="B227" s="50" t="str">
        <x:v>Cairnclamp</x:v>
      </x:c>
      <x:c r="C227" s="49" t="n">
        <x:v>12</x:v>
      </x:c>
      <x:c r="D227" s="50" t="str">
        <x:v>Shale Press</x:v>
      </x:c>
      <x:c r="E227" s="50" t="str">
        <x:v>Deal 2.40 A physical damage plus 2% H as physical damage, with the HP-scaled portion capped at 0.80 A.</x:v>
      </x:c>
      <x:c r="F227" s="50" t="str">
        <x:v>Cast on the current legal target; no additional condition.</x:v>
      </x:c>
    </x:row>
    <x:row r="228" ht="38" customHeight="1">
      <x:c r="A228" s="49" t="n">
        <x:v>74</x:v>
      </x:c>
      <x:c r="B228" s="50" t="str">
        <x:v>Tideotter</x:v>
      </x:c>
      <x:c r="C228" s="49" t="n">
        <x:v>4</x:v>
      </x:c>
      <x:c r="D228" s="50" t="str">
        <x:v>Paddle Combination</x:v>
      </x:c>
      <x:c r="E228" s="50" t="str">
        <x:v>Deal two physical hits totaling 1.35 A; spends Droplets once per cast.</x:v>
      </x:c>
      <x:c r="F228" s="50" t="str">
        <x:v>Cast on the current legal target; no additional condition.</x:v>
      </x:c>
    </x:row>
    <x:row r="229" ht="38" customHeight="1">
      <x:c r="A229" s="49" t="n">
        <x:v>74</x:v>
      </x:c>
      <x:c r="B229" s="50" t="str">
        <x:v>Tideotter</x:v>
      </x:c>
      <x:c r="C229" s="49" t="n">
        <x:v>8</x:v>
      </x:c>
      <x:c r="D229" s="50" t="str">
        <x:v>Tailbreak Guard</x:v>
      </x:c>
      <x:c r="E229" s="50" t="str">
        <x:v>Shield the trainer for 0.80 A + 3% H for 3s. Does not spend Droplets.</x:v>
      </x:c>
      <x:c r="F229" s="50" t="str">
        <x:v>Cast when trainer is targeted or at 75% HP or lower.</x:v>
      </x:c>
    </x:row>
    <x:row r="230" ht="60" customHeight="1">
      <x:c r="A230" s="49" t="n">
        <x:v>74</x:v>
      </x:c>
      <x:c r="B230" s="50" t="str">
        <x:v>Tideotter</x:v>
      </x:c>
      <x:c r="C230" s="49" t="n">
        <x:v>12</x:v>
      </x:c>
      <x:c r="D230" s="50" t="str">
        <x:v>Restorative Current</x:v>
      </x:c>
      <x:c r="E230" s="50" t="str">
        <x:v>Heal the lowest-HP% ally for 1.60 M and cleanse one DoT. Spends Droplets as healing; this is the optional MATK branch.</x:v>
      </x:c>
      <x:c r="F230" s="50" t="str">
        <x:v>Cast when an ally is at 70% HP or lower or carries a DoT below 85%.</x:v>
      </x:c>
    </x:row>
    <x:row r="231" ht="38" customHeight="1">
      <x:c r="A231" s="49" t="n">
        <x:v>75</x:v>
      </x:c>
      <x:c r="B231" s="50" t="str">
        <x:v>Veilora</x:v>
      </x:c>
      <x:c r="C231" s="49" t="n">
        <x:v>4</x:v>
      </x:c>
      <x:c r="D231" s="50" t="str">
        <x:v>Veil Needle</x:v>
      </x:c>
      <x:c r="E231" s="50" t="str">
        <x:v>Deal 1.30 M magic damage and spend Threads.</x:v>
      </x:c>
      <x:c r="F231" s="50" t="str">
        <x:v>Cast on the current legal target; no additional condition.</x:v>
      </x:c>
    </x:row>
    <x:row r="232" ht="38" customHeight="1">
      <x:c r="A232" s="49" t="n">
        <x:v>75</x:v>
      </x:c>
      <x:c r="B232" s="50" t="str">
        <x:v>Veilora</x:v>
      </x:c>
      <x:c r="C232" s="49" t="n">
        <x:v>8</x:v>
      </x:c>
      <x:c r="D232" s="50" t="str">
        <x:v>Gentle Shroud</x:v>
      </x:c>
      <x:c r="E232" s="50" t="str">
        <x:v>Shield the lowest-HP% ally for 1.05 M for 3s.</x:v>
      </x:c>
      <x:c r="F232" s="50" t="str">
        <x:v>Cast when an ally is targeted or at 75% HP or lower.</x:v>
      </x:c>
    </x:row>
    <x:row r="233" ht="47.5" customHeight="1">
      <x:c r="A233" s="49" t="n">
        <x:v>75</x:v>
      </x:c>
      <x:c r="B233" s="50" t="str">
        <x:v>Veilora</x:v>
      </x:c>
      <x:c r="C233" s="49" t="n">
        <x:v>12</x:v>
      </x:c>
      <x:c r="D233" s="50" t="str">
        <x:v>Unraveling Mercy</x:v>
      </x:c>
      <x:c r="E233" s="50" t="str">
        <x:v>Deal 2.50 M magic damage and heal the lowest-HP% ally for 0.65 M. Threads add damage, not healing.</x:v>
      </x:c>
      <x:c r="F233" s="50" t="str">
        <x:v>Cast on the current legal target; no additional condition.</x:v>
      </x:c>
    </x:row>
    <x:row r="234" ht="38" customHeight="1">
      <x:c r="A234" s="49" t="n">
        <x:v>76</x:v>
      </x:c>
      <x:c r="B234" s="50" t="str">
        <x:v>Ashbasilisk</x:v>
      </x:c>
      <x:c r="C234" s="49" t="n">
        <x:v>4</x:v>
      </x:c>
      <x:c r="D234" s="50" t="str">
        <x:v>Ashfang</x:v>
      </x:c>
      <x:c r="E234" s="50" t="str">
        <x:v>Deal 1.35 A physical damage with +15 HIT.</x:v>
      </x:c>
      <x:c r="F234" s="50" t="str">
        <x:v>Cast on the current legal target; no additional condition.</x:v>
      </x:c>
    </x:row>
    <x:row r="235" ht="60" customHeight="1">
      <x:c r="A235" s="49" t="n">
        <x:v>76</x:v>
      </x:c>
      <x:c r="B235" s="50" t="str">
        <x:v>Ashbasilisk</x:v>
      </x:c>
      <x:c r="C235" s="49" t="n">
        <x:v>8</x:v>
      </x:c>
      <x:c r="D235" s="50" t="str">
        <x:v>Stone-Eye Glare</x:v>
      </x:c>
      <x:c r="E235" s="50" t="str">
        <x:v>Deal 1.50 A physical damage, apply Calcify for 3s, and interrupt for 0.5s. The glare targets the current legal target.</x:v>
      </x:c>
      <x:c r="F235" s="50" t="str">
        <x:v>Cast on the current legal target; no additional condition.</x:v>
      </x:c>
    </x:row>
    <x:row r="236" ht="38" customHeight="1">
      <x:c r="A236" s="49" t="n">
        <x:v>76</x:v>
      </x:c>
      <x:c r="B236" s="50" t="str">
        <x:v>Ashbasilisk</x:v>
      </x:c>
      <x:c r="C236" s="49" t="n">
        <x:v>12</x:v>
      </x:c>
      <x:c r="D236" s="50" t="str">
        <x:v>Basalt Finish</x:v>
      </x:c>
      <x:c r="E236" s="50" t="str">
        <x:v>Deal 2.70 A physical damage; against a Calcified target, increase to 3.25 A.</x:v>
      </x:c>
      <x:c r="F236" s="50" t="str">
        <x:v>Cast on the current legal target; no additional condition.</x:v>
      </x:c>
    </x:row>
    <x:row r="237" ht="38" customHeight="1">
      <x:c r="A237" s="49" t="n">
        <x:v>77</x:v>
      </x:c>
      <x:c r="B237" s="50" t="str">
        <x:v>Slagbud</x:v>
      </x:c>
      <x:c r="C237" s="49" t="n">
        <x:v>4</x:v>
      </x:c>
      <x:c r="D237" s="50" t="str">
        <x:v>Basalt Thorn</x:v>
      </x:c>
      <x:c r="E237" s="50" t="str">
        <x:v>Deal 1.15 A physical damage and reduce target healing received by 15% for 3s.</x:v>
      </x:c>
      <x:c r="F237" s="50" t="str">
        <x:v>Cast on the current legal target; no additional condition.</x:v>
      </x:c>
    </x:row>
    <x:row r="238" ht="38" customHeight="1">
      <x:c r="A238" s="49" t="n">
        <x:v>77</x:v>
      </x:c>
      <x:c r="B238" s="50" t="str">
        <x:v>Slagbud</x:v>
      </x:c>
      <x:c r="C238" s="49" t="n">
        <x:v>8</x:v>
      </x:c>
      <x:c r="D238" s="50" t="str">
        <x:v>Stone Sap</x:v>
      </x:c>
      <x:c r="E238" s="50" t="str">
        <x:v>Heal self for 9% H.</x:v>
      </x:c>
      <x:c r="F238" s="50" t="str">
        <x:v>Cast at 70% HP or lower.</x:v>
      </x:c>
    </x:row>
    <x:row r="239" ht="38" customHeight="1">
      <x:c r="A239" s="49" t="n">
        <x:v>77</x:v>
      </x:c>
      <x:c r="B239" s="50" t="str">
        <x:v>Slagbud</x:v>
      </x:c>
      <x:c r="C239" s="49" t="n">
        <x:v>12</x:v>
      </x:c>
      <x:c r="D239" s="50" t="str">
        <x:v>Leafslab Shelter</x:v>
      </x:c>
      <x:c r="E239" s="50" t="str">
        <x:v>Shield the trainer for 10% H for 4s and self for 5% H for 3s.</x:v>
      </x:c>
      <x:c r="F239" s="50" t="str">
        <x:v>Cast when trainer is targeted or at 70% HP or lower.</x:v>
      </x:c>
    </x:row>
    <x:row r="240" ht="38" customHeight="1">
      <x:c r="A240" s="49" t="n">
        <x:v>78</x:v>
      </x:c>
      <x:c r="B240" s="50" t="str">
        <x:v>Cinderempress</x:v>
      </x:c>
      <x:c r="C240" s="49" t="n">
        <x:v>4</x:v>
      </x:c>
      <x:c r="D240" s="50" t="str">
        <x:v>Royal Cinder</x:v>
      </x:c>
      <x:c r="E240" s="50" t="str">
        <x:v>Deal 1.35 M magic damage.</x:v>
      </x:c>
      <x:c r="F240" s="50" t="str">
        <x:v>Cast on the current legal target.</x:v>
      </x:c>
    </x:row>
    <x:row r="241" ht="38" customHeight="1">
      <x:c r="A241" s="49" t="n">
        <x:v>78</x:v>
      </x:c>
      <x:c r="B241" s="50" t="str">
        <x:v>Cinderempress</x:v>
      </x:c>
      <x:c r="C241" s="49" t="n">
        <x:v>8</x:v>
      </x:c>
      <x:c r="D241" s="50" t="str">
        <x:v>Pleated Mantle</x:v>
      </x:c>
      <x:c r="E241" s="50" t="str">
        <x:v>Gain a shield worth 0.90 M + 3% H for 3s.</x:v>
      </x:c>
      <x:c r="F241" s="50" t="str">
        <x:v>Cast while targeted or at 70% HP or lower.</x:v>
      </x:c>
    </x:row>
    <x:row r="242" ht="147.5" customHeight="1">
      <x:c r="A242" s="49" t="n">
        <x:v>78</x:v>
      </x:c>
      <x:c r="B242" s="50" t="str">
        <x:v>Cinderempress</x:v>
      </x:c>
      <x:c r="C242" s="49" t="n">
        <x:v>12</x:v>
      </x:c>
      <x:c r="D242" s="50" t="str">
        <x:v>Imperial Hearth</x:v>
      </x:c>
      <x:c r="E242" s="50" t="str">
        <x:v>Conjure one untargetable ember-hearth zone of 2R radius centered on Cinderempress's current position for 4s. At 0/1/2/3s, deal 0.60 M magic damage to up to 3 enemies inside, current target first. While Cinderempress herself remains inside, she takes 10% less direct damage. The hearth does not follow a target switch, block terrain, or pull enemies; it ends on her death.</x:v>
      </x:c>
      <x:c r="F242" s="50" t="str">
        <x:v>Cast when Cinderempress is in contact combat with a living enemy and no Hearth is active. Do not wait for multiple targets.</x:v>
      </x:c>
    </x:row>
    <x:row r="243" ht="38" customHeight="1">
      <x:c r="A243" s="49" t="n">
        <x:v>79</x:v>
      </x:c>
      <x:c r="B243" s="50" t="str">
        <x:v>Ashskate</x:v>
      </x:c>
      <x:c r="C243" s="49" t="n">
        <x:v>4</x:v>
      </x:c>
      <x:c r="D243" s="50" t="str">
        <x:v>Ash Arc</x:v>
      </x:c>
      <x:c r="E243" s="50" t="str">
        <x:v>Deal 1.45 M magic damage.</x:v>
      </x:c>
      <x:c r="F243" s="50" t="str">
        <x:v>Cast on the current legal target; no additional condition.</x:v>
      </x:c>
    </x:row>
    <x:row r="244" ht="160" customHeight="1">
      <x:c r="A244" s="49" t="n">
        <x:v>79</x:v>
      </x:c>
      <x:c r="B244" s="50" t="str">
        <x:v>Ashskate</x:v>
      </x:c>
      <x:c r="C244" s="49" t="n">
        <x:v>8</x:v>
      </x:c>
      <x:c r="D244" s="50" t="str">
        <x:v>Scorchline</x:v>
      </x:c>
      <x:c r="E244" s="50" t="str">
        <x:v>Deal 1.70 M magic damage and mark the current encounter enemy for 2s. If that eligible enemy dies while marked, deal 0.50 M magic damage to Ashskate's next normal legal encounter target, once. If the mark instead expires while its target lives, deal 0.25 M magic damage to that same target. These are mutually exclusive outcomes; neither generates Sparks, crits, chains, or chooses a temporary summon as a transfer target.</x:v>
      </x:c>
      <x:c r="F244" s="50" t="str">
        <x:v>Cast on the current legal target; no additional condition.</x:v>
      </x:c>
    </x:row>
    <x:row r="245" ht="38" customHeight="1">
      <x:c r="A245" s="49" t="n">
        <x:v>79</x:v>
      </x:c>
      <x:c r="B245" s="50" t="str">
        <x:v>Ashskate</x:v>
      </x:c>
      <x:c r="C245" s="49" t="n">
        <x:v>12</x:v>
      </x:c>
      <x:c r="D245" s="50" t="str">
        <x:v>Bladefoot Flare</x:v>
      </x:c>
      <x:c r="E245" s="50" t="str">
        <x:v>Deal 2.90 M magic damage and gain a 0.60 M self-shield for 2s.</x:v>
      </x:c>
      <x:c r="F245" s="50" t="str">
        <x:v>Cast on the current legal target; no additional condition.</x:v>
      </x:c>
    </x:row>
    <x:row r="246" ht="47.5" customHeight="1">
      <x:c r="A246" s="49" t="n">
        <x:v>80</x:v>
      </x:c>
      <x:c r="B246" s="50" t="str">
        <x:v>Ribwhirl</x:v>
      </x:c>
      <x:c r="C246" s="49" t="n">
        <x:v>4</x:v>
      </x:c>
      <x:c r="D246" s="50" t="str">
        <x:v>Spinal Spin</x:v>
      </x:c>
      <x:c r="E246" s="50" t="str">
        <x:v>Deal 1.35 M magic damage to the current target; spin in place without changing rows.</x:v>
      </x:c>
      <x:c r="F246" s="50" t="str">
        <x:v>Cast on the current legal target; no additional condition.</x:v>
      </x:c>
    </x:row>
    <x:row r="247" ht="38" customHeight="1">
      <x:c r="A247" s="49" t="n">
        <x:v>80</x:v>
      </x:c>
      <x:c r="B247" s="50" t="str">
        <x:v>Ribwhirl</x:v>
      </x:c>
      <x:c r="C247" s="49" t="n">
        <x:v>8</x:v>
      </x:c>
      <x:c r="D247" s="50" t="str">
        <x:v>Brace the Ribs</x:v>
      </x:c>
      <x:c r="E247" s="50" t="str">
        <x:v>Gain a shield equal to 0.85 M + 3% H for 3s; next basic cycle is Rib.</x:v>
      </x:c>
      <x:c r="F247" s="50" t="str">
        <x:v>Cast while targeted or at 70% HP or lower.</x:v>
      </x:c>
    </x:row>
    <x:row r="248" ht="38" customHeight="1">
      <x:c r="A248" s="49" t="n">
        <x:v>80</x:v>
      </x:c>
      <x:c r="B248" s="50" t="str">
        <x:v>Ribwhirl</x:v>
      </x:c>
      <x:c r="C248" s="49" t="n">
        <x:v>12</x:v>
      </x:c>
      <x:c r="D248" s="50" t="str">
        <x:v>Rib Cascade</x:v>
      </x:c>
      <x:c r="E248" s="50" t="str">
        <x:v>Deal 2.70 M magic damage; if self-shielded at cast start, add 0.40 M.</x:v>
      </x:c>
      <x:c r="F248" s="50" t="str">
        <x:v>Cast on the current legal target; no additional condition.</x:v>
      </x:c>
    </x:row>
    <x:row r="249" ht="38" customHeight="1">
      <x:c r="A249" s="49" t="n">
        <x:v>81</x:v>
      </x:c>
      <x:c r="B249" s="50" t="str">
        <x:v>Ferncoil</x:v>
      </x:c>
      <x:c r="C249" s="49" t="n">
        <x:v>4</x:v>
      </x:c>
      <x:c r="D249" s="50" t="str">
        <x:v>Coiled Whip</x:v>
      </x:c>
      <x:c r="E249" s="50" t="str">
        <x:v>Deal 1.40 A physical damage.</x:v>
      </x:c>
      <x:c r="F249" s="50" t="str">
        <x:v>Cast on the current legal target; no additional condition.</x:v>
      </x:c>
    </x:row>
    <x:row r="250" ht="47.5" customHeight="1">
      <x:c r="A250" s="49" t="n">
        <x:v>81</x:v>
      </x:c>
      <x:c r="B250" s="50" t="str">
        <x:v>Ferncoil</x:v>
      </x:c>
      <x:c r="C250" s="49" t="n">
        <x:v>8</x:v>
      </x:c>
      <x:c r="D250" s="50" t="str">
        <x:v>Frond Fence</x:v>
      </x:c>
      <x:c r="E250" s="50" t="str">
        <x:v>Gain a 0.85 A self-shield and +20 FLEE for 3s. Also gain Recoil without needing a miss.</x:v>
      </x:c>
      <x:c r="F250" s="50" t="str">
        <x:v>Cast while targeted or without Recoil.</x:v>
      </x:c>
    </x:row>
    <x:row r="251" ht="38" customHeight="1">
      <x:c r="A251" s="49" t="n">
        <x:v>81</x:v>
      </x:c>
      <x:c r="B251" s="50" t="str">
        <x:v>Ferncoil</x:v>
      </x:c>
      <x:c r="C251" s="49" t="n">
        <x:v>12</x:v>
      </x:c>
      <x:c r="D251" s="50" t="str">
        <x:v>Fully Unfurled</x:v>
      </x:c>
      <x:c r="E251" s="50" t="str">
        <x:v>Deal 2.90 A physical damage and reduce target HIT by 20 for 3s.</x:v>
      </x:c>
      <x:c r="F251" s="50" t="str">
        <x:v>Cast on the current legal target; no additional condition.</x:v>
      </x:c>
    </x:row>
    <x:row r="252" ht="47.5" customHeight="1">
      <x:c r="A252" s="49" t="n">
        <x:v>82</x:v>
      </x:c>
      <x:c r="B252" s="50" t="str">
        <x:v>Ironback</x:v>
      </x:c>
      <x:c r="C252" s="49" t="n">
        <x:v>4</x:v>
      </x:c>
      <x:c r="D252" s="50" t="str">
        <x:v>Shellknuckle</x:v>
      </x:c>
      <x:c r="E252" s="50" t="str">
        <x:v>Deal 1.20 A physical damage. If Tilted Carapace triggered in the previous 2s, add 0.30 A.</x:v>
      </x:c>
      <x:c r="F252" s="50" t="str">
        <x:v>Cast on the current legal target; no additional condition.</x:v>
      </x:c>
    </x:row>
    <x:row r="253" ht="38" customHeight="1">
      <x:c r="A253" s="49" t="n">
        <x:v>82</x:v>
      </x:c>
      <x:c r="B253" s="50" t="str">
        <x:v>Ironback</x:v>
      </x:c>
      <x:c r="C253" s="49" t="n">
        <x:v>8</x:v>
      </x:c>
      <x:c r="D253" s="50" t="str">
        <x:v>Interposing Plate</x:v>
      </x:c>
      <x:c r="E253" s="50" t="str">
        <x:v>Redirect 25% of trainer direct damage to Ironback for 3s.</x:v>
      </x:c>
      <x:c r="F253" s="50" t="str">
        <x:v>Cast above 45% HP when trainer is targeted or at 65% HP or lower.</x:v>
      </x:c>
    </x:row>
    <x:row r="254" ht="47.5" customHeight="1">
      <x:c r="A254" s="49" t="n">
        <x:v>82</x:v>
      </x:c>
      <x:c r="B254" s="50" t="str">
        <x:v>Ironback</x:v>
      </x:c>
      <x:c r="C254" s="49" t="n">
        <x:v>12</x:v>
      </x:c>
      <x:c r="D254" s="50" t="str">
        <x:v>Hold the Shell</x:v>
      </x:c>
      <x:c r="E254" s="50" t="str">
        <x:v>Gain an 18% H self-shield for 4s and 10% damage reduction for 2s.</x:v>
      </x:c>
      <x:c r="F254" s="50" t="str">
        <x:v>Cast while targeted and below an existing 8% H self-shield, or at 65% HP or lower.</x:v>
      </x:c>
    </x:row>
    <x:row r="255" ht="38" customHeight="1">
      <x:c r="A255" s="49" t="n">
        <x:v>83</x:v>
      </x:c>
      <x:c r="B255" s="50" t="str">
        <x:v>Moltencoil</x:v>
      </x:c>
      <x:c r="C255" s="49" t="n">
        <x:v>4</x:v>
      </x:c>
      <x:c r="D255" s="50" t="str">
        <x:v>Ringlash</x:v>
      </x:c>
      <x:c r="E255" s="50" t="str">
        <x:v>Deal 1.30 A physical damage and gain a 0.25 A self-shield for 2s.</x:v>
      </x:c>
      <x:c r="F255" s="50" t="str">
        <x:v>Cast on the current legal target; no additional condition.</x:v>
      </x:c>
    </x:row>
    <x:row r="256" ht="47.5" customHeight="1">
      <x:c r="A256" s="49" t="n">
        <x:v>83</x:v>
      </x:c>
      <x:c r="B256" s="50" t="str">
        <x:v>Moltencoil</x:v>
      </x:c>
      <x:c r="C256" s="49" t="n">
        <x:v>8</x:v>
      </x:c>
      <x:c r="D256" s="50" t="str">
        <x:v>Shed the Slag</x:v>
      </x:c>
      <x:c r="E256" s="50" t="str">
        <x:v>Remove Blind or an attack-interval penalty from self, then gain a 0.90 A self-shield for 3s.</x:v>
      </x:c>
      <x:c r="F256" s="50" t="str">
        <x:v>Cast while targeted, below 75% HP, or affected by either removable penalty.</x:v>
      </x:c>
    </x:row>
    <x:row r="257" ht="38" customHeight="1">
      <x:c r="A257" s="49" t="n">
        <x:v>83</x:v>
      </x:c>
      <x:c r="B257" s="50" t="str">
        <x:v>Moltencoil</x:v>
      </x:c>
      <x:c r="C257" s="49" t="n">
        <x:v>12</x:v>
      </x:c>
      <x:c r="D257" s="50" t="str">
        <x:v>Molten Constriction</x:v>
      </x:c>
      <x:c r="E257" s="50" t="str">
        <x:v>Deal 2.70 A physical damage and reduce target healing received by 20% for 3s.</x:v>
      </x:c>
      <x:c r="F257" s="50" t="str">
        <x:v>Cast on the current legal target; no additional condition.</x:v>
      </x:c>
    </x:row>
    <x:row r="258" ht="38" customHeight="1">
      <x:c r="A258" s="49" t="n">
        <x:v>84</x:v>
      </x:c>
      <x:c r="B258" s="50" t="str">
        <x:v>Steamaxolotl</x:v>
      </x:c>
      <x:c r="C258" s="49" t="n">
        <x:v>4</x:v>
      </x:c>
      <x:c r="D258" s="50" t="str">
        <x:v>Steam Trickle</x:v>
      </x:c>
      <x:c r="E258" s="50" t="str">
        <x:v>Heal the lowest-HP% ally for 0.70 M.</x:v>
      </x:c>
      <x:c r="F258" s="50" t="str">
        <x:v>Cast when an ally is at 80% HP or lower.</x:v>
      </x:c>
    </x:row>
    <x:row r="259" ht="60" customHeight="1">
      <x:c r="A259" s="49" t="n">
        <x:v>84</x:v>
      </x:c>
      <x:c r="B259" s="50" t="str">
        <x:v>Steamaxolotl</x:v>
      </x:c>
      <x:c r="C259" s="49" t="n">
        <x:v>8</x:v>
      </x:c>
      <x:c r="D259" s="50" t="str">
        <x:v>Gillwash</x:v>
      </x:c>
      <x:c r="E259" s="50" t="str">
        <x:v>Cleanse one removable harmful effect from an ally, then heal it for 1.00 M. Prioritize trainer control, then healing reduction, then DoT.</x:v>
      </x:c>
      <x:c r="F259" s="50" t="str">
        <x:v>Cast when any ally has a removable harmful effect, or an ally is below 65% HP.</x:v>
      </x:c>
    </x:row>
    <x:row r="260" ht="60" customHeight="1">
      <x:c r="A260" s="49" t="n">
        <x:v>84</x:v>
      </x:c>
      <x:c r="B260" s="50" t="str">
        <x:v>Steamaxolotl</x:v>
      </x:c>
      <x:c r="C260" s="49" t="n">
        <x:v>12</x:v>
      </x:c>
      <x:c r="D260" s="50" t="str">
        <x:v>White-Steam Bath</x:v>
      </x:c>
      <x:c r="E260" s="50" t="str">
        <x:v>Cleanse one removable harmful effect from every living ally and heal each for 0.80 M.</x:v>
      </x:c>
      <x:c r="F260" s="50" t="str">
        <x:v>Cast when two allies have removable effects, trainer has control/healing reduction, or two allies are below 75% HP.</x:v>
      </x:c>
    </x:row>
    <x:row r="261" ht="38" customHeight="1">
      <x:c r="A261" s="49" t="n">
        <x:v>85</x:v>
      </x:c>
      <x:c r="B261" s="50" t="str">
        <x:v>Tidecrown</x:v>
      </x:c>
      <x:c r="C261" s="49" t="n">
        <x:v>4</x:v>
      </x:c>
      <x:c r="D261" s="50" t="str">
        <x:v>Royal Spout</x:v>
      </x:c>
      <x:c r="E261" s="50" t="str">
        <x:v>Deal 1.15 M magic damage and heal self for 0.30 M.</x:v>
      </x:c>
      <x:c r="F261" s="50" t="str">
        <x:v>Cast on the current legal target; no additional condition.</x:v>
      </x:c>
    </x:row>
    <x:row r="262" ht="38" customHeight="1">
      <x:c r="A262" s="49" t="n">
        <x:v>85</x:v>
      </x:c>
      <x:c r="B262" s="50" t="str">
        <x:v>Tidecrown</x:v>
      </x:c>
      <x:c r="C262" s="49" t="n">
        <x:v>8</x:v>
      </x:c>
      <x:c r="D262" s="50" t="str">
        <x:v>Refill the Crown</x:v>
      </x:c>
      <x:c r="E262" s="50" t="str">
        <x:v>Heal self for 0.80 M + 7% H.</x:v>
      </x:c>
      <x:c r="F262" s="50" t="str">
        <x:v>Cast at 75% HP or lower.</x:v>
      </x:c>
    </x:row>
    <x:row r="263" ht="38" customHeight="1">
      <x:c r="A263" s="49" t="n">
        <x:v>85</x:v>
      </x:c>
      <x:c r="B263" s="50" t="str">
        <x:v>Tidecrown</x:v>
      </x:c>
      <x:c r="C263" s="49" t="n">
        <x:v>12</x:v>
      </x:c>
      <x:c r="D263" s="50" t="str">
        <x:v>Coronation Tide</x:v>
      </x:c>
      <x:c r="E263" s="50" t="str">
        <x:v>Shield the trainer for 1.10 M + 4% H for 4s and heal self for 0.60 M.</x:v>
      </x:c>
      <x:c r="F263" s="50" t="str">
        <x:v>Cast when trainer is targeted or at 70% HP or lower.</x:v>
      </x:c>
    </x:row>
    <x:row r="264" ht="47.5" customHeight="1">
      <x:c r="A264" s="49" t="n">
        <x:v>86</x:v>
      </x:c>
      <x:c r="B264" s="50" t="str">
        <x:v>Elderroot</x:v>
      </x:c>
      <x:c r="C264" s="49" t="n">
        <x:v>4</x:v>
      </x:c>
      <x:c r="D264" s="50" t="str">
        <x:v>Root-Hand Crush</x:v>
      </x:c>
      <x:c r="E264" s="50" t="str">
        <x:v>Deal 1.15 A physical damage plus 2% H as physical damage; cap the HP-derived portion at 0.60 A.</x:v>
      </x:c>
      <x:c r="F264" s="50" t="str">
        <x:v>Cast on the current legal target.</x:v>
      </x:c>
    </x:row>
    <x:row r="265" ht="38" customHeight="1">
      <x:c r="A265" s="49" t="n">
        <x:v>86</x:v>
      </x:c>
      <x:c r="B265" s="50" t="str">
        <x:v>Elderroot</x:v>
      </x:c>
      <x:c r="C265" s="49" t="n">
        <x:v>8</x:v>
      </x:c>
      <x:c r="D265" s="50" t="str">
        <x:v>Hollow Haven</x:v>
      </x:c>
      <x:c r="E265" s="50" t="str">
        <x:v>Heal self for 8% H and reduce trainer direct damage taken by 10% for 3s.</x:v>
      </x:c>
      <x:c r="F265" s="50" t="str">
        <x:v>Cast when self is below 75% HP or trainer is targeted.</x:v>
      </x:c>
    </x:row>
    <x:row r="266" ht="172.5" customHeight="1">
      <x:c r="A266" s="49" t="n">
        <x:v>86</x:v>
      </x:c>
      <x:c r="B266" s="50" t="str">
        <x:v>Elderroot</x:v>
      </x:c>
      <x:c r="C266" s="49" t="n">
        <x:v>12</x:v>
      </x:c>
      <x:c r="D266" s="50" t="str">
        <x:v>Old Forest Stand</x:v>
      </x:c>
      <x:c r="E266" s="50" t="str">
        <x:v>Raise two Sapling Wardens beside Elderroot for 5s, each with 10% H HP. One guards the trainer and one guards Elderroot; each intercepts 15% of its assigned core ally's direct HP damage under the single-interceptor rule. Each also swings for 0.18 A physical every 1.5s, first at 0.5s, if an enemy is already in melee reach. They do not chase, taunt, heal, or intercept area damage. Maximum 2; each protection budget is limited by that sapling's remaining HP.</x:v>
      </x:c>
      <x:c r="F266" s="50" t="str">
        <x:v>Cast with no Sapling Warden alive when Elderroot or the trainer is targeted. New wardens remain useful at full allied HP.</x:v>
      </x:c>
    </x:row>
    <x:row r="267" ht="38" customHeight="1">
      <x:c r="A267" s="49" t="n">
        <x:v>87</x:v>
      </x:c>
      <x:c r="B267" s="50" t="str">
        <x:v>Emberorchid</x:v>
      </x:c>
      <x:c r="C267" s="49" t="n">
        <x:v>4</x:v>
      </x:c>
      <x:c r="D267" s="50" t="str">
        <x:v>Orchid Spark</x:v>
      </x:c>
      <x:c r="E267" s="50" t="str">
        <x:v>Deal 1.30 M magic damage and apply one Pollen through the passive.</x:v>
      </x:c>
      <x:c r="F267" s="50" t="str">
        <x:v>Cast on the current legal target.</x:v>
      </x:c>
    </x:row>
    <x:row r="268" ht="72.5" customHeight="1">
      <x:c r="A268" s="49" t="n">
        <x:v>87</x:v>
      </x:c>
      <x:c r="B268" s="50" t="str">
        <x:v>Emberorchid</x:v>
      </x:c>
      <x:c r="C268" s="49" t="n">
        <x:v>8</x:v>
      </x:c>
      <x:c r="D268" s="50" t="str">
        <x:v>Searing Petals</x:v>
      </x:c>
      <x:c r="E268" s="50" t="str">
        <x:v>Deal 1.45 M magic damage to the current target and 0.35 M to up to 2 additional enemies within 1.5R of it. Gain a 0.35 M self-shield for 3s. Only the primary target receives Pollen.</x:v>
      </x:c>
      <x:c r="F268" s="50" t="str">
        <x:v>Cast on the current legal target; never wait for extra enemies.</x:v>
      </x:c>
    </x:row>
    <x:row r="269" ht="135" customHeight="1">
      <x:c r="A269" s="49" t="n">
        <x:v>87</x:v>
      </x:c>
      <x:c r="B269" s="50" t="str">
        <x:v>Emberorchid</x:v>
      </x:c>
      <x:c r="C269" s="49" t="n">
        <x:v>12</x:v>
      </x:c>
      <x:c r="D269" s="50" t="str">
        <x:v>Bloomjaw Turret</x:v>
      </x:c>
      <x:c r="E269" s="50" t="str">
        <x:v>Plant one Seedjaw Turret beside Emberorchid for 6s with 7% H HP. It spits 0.50 M magic damage every 1s after a 0.5s wind-up, maximum 6 shots. It has the caster's normal attack reach and acquires the caster's current legal target; on that target's death it chooses the nearest legal enemy in reach. Maximum 1. Only its first landed shot applies Pollen.</x:v>
      </x:c>
      <x:c r="F269" s="50" t="str">
        <x:v>Cast with a legal enemy in proposed turret reach and no Seedjaw Turret alive; no corpse or Pollen requirement.</x:v>
      </x:c>
    </x:row>
    <x:row r="270" ht="60" customHeight="1">
      <x:c r="A270" s="49" t="n">
        <x:v>88</x:v>
      </x:c>
      <x:c r="B270" s="50" t="str">
        <x:v>Glowcap</x:v>
      </x:c>
      <x:c r="C270" s="49" t="n">
        <x:v>4</x:v>
      </x:c>
      <x:c r="D270" s="50" t="str">
        <x:v>Glowseed</x:v>
      </x:c>
      <x:c r="E270" s="50" t="str">
        <x:v>Plant a seed on the lowest-HP% core ally; after 1s it heals for 0.70 M. Little Nightlight supplies the immediate bridge shield.</x:v>
      </x:c>
      <x:c r="F270" s="50" t="str">
        <x:v>Cast when a core ally is at 80% HP or lower; account for already-pending heals.</x:v>
      </x:c>
    </x:row>
    <x:row r="271" ht="110" customHeight="1">
      <x:c r="A271" s="49" t="n">
        <x:v>88</x:v>
      </x:c>
      <x:c r="B271" s="50" t="str">
        <x:v>Glowcap</x:v>
      </x:c>
      <x:c r="C271" s="49" t="n">
        <x:v>8</x:v>
      </x:c>
      <x:c r="D271" s="50" t="str">
        <x:v>Floating Canopy</x:v>
      </x:c>
      <x:c r="E271" s="50" t="str">
        <x:v>Grow one Nightlight Cap for 5s with 8% H HP and a 2R radius centered on the most injured core ally's current position. At 0/2/4s, heal the lowest-HP% core ally in the zone for 0.40 M; prioritize the trainer below 55% HP. It is one shared heal per pulse, not one per unit. Maximum 1 Cap.</x:v>
      </x:c>
      <x:c r="F271" s="50" t="str">
        <x:v>Cast with no Cap alive when a core ally is below 85% HP or targeted. Do not wait for an enemy kill; start useful protection during the opening.</x:v>
      </x:c>
    </x:row>
    <x:row r="272" ht="97.5" customHeight="1">
      <x:c r="A272" s="49" t="n">
        <x:v>88</x:v>
      </x:c>
      <x:c r="B272" s="50" t="str">
        <x:v>Glowcap</x:v>
      </x:c>
      <x:c r="C272" s="49" t="n">
        <x:v>12</x:v>
      </x:c>
      <x:c r="D272" s="50" t="str">
        <x:v>Mushroom Dawn</x:v>
      </x:c>
      <x:c r="E272" s="50" t="str">
        <x:v>Heal all living core allies for 0.75 M immediately. If a Nightlight Cap is alive, it emits one additional 0.60 M heal to the lowest-HP% core ally in its zone; this does not reset the regular pulse clock or create another Cap.</x:v>
      </x:c>
      <x:c r="F272" s="50" t="str">
        <x:v>Cast when the trainer is below 60% HP or at least two core allies are below 80%. A Cap is not required.</x:v>
      </x:c>
    </x:row>
    <x:row r="273" ht="47.5" customHeight="1">
      <x:c r="A273" s="49" t="n">
        <x:v>89</x:v>
      </x:c>
      <x:c r="B273" s="50" t="str">
        <x:v>Marigloom</x:v>
      </x:c>
      <x:c r="C273" s="49" t="n">
        <x:v>4</x:v>
      </x:c>
      <x:c r="D273" s="50" t="str">
        <x:v>Petal Poultice</x:v>
      </x:c>
      <x:c r="E273" s="50" t="str">
        <x:v>Heal the lowest-HP% ally for 0.65 M; reduce its next DoT tick within 2s by 30%.</x:v>
      </x:c>
      <x:c r="F273" s="50" t="str">
        <x:v>Cast when an ally is at 80% HP or lower.</x:v>
      </x:c>
    </x:row>
    <x:row r="274" ht="47.5" customHeight="1">
      <x:c r="A274" s="49" t="n">
        <x:v>89</x:v>
      </x:c>
      <x:c r="B274" s="50" t="str">
        <x:v>Marigloom</x:v>
      </x:c>
      <x:c r="C274" s="49" t="n">
        <x:v>8</x:v>
      </x:c>
      <x:c r="D274" s="50" t="str">
        <x:v>Mourning Bloom</x:v>
      </x:c>
      <x:c r="E274" s="50" t="str">
        <x:v>Heal the lowest-HP% ally for 1.20 M. If it was at 40% HP or lower, also give a 0.40 M shield for 3s.</x:v>
      </x:c>
      <x:c r="F274" s="50" t="str">
        <x:v>Cast when an ally is at 70% HP or lower.</x:v>
      </x:c>
    </x:row>
    <x:row r="275" ht="47.5" customHeight="1">
      <x:c r="A275" s="49" t="n">
        <x:v>89</x:v>
      </x:c>
      <x:c r="B275" s="50" t="str">
        <x:v>Marigloom</x:v>
      </x:c>
      <x:c r="C275" s="49" t="n">
        <x:v>12</x:v>
      </x:c>
      <x:c r="D275" s="50" t="str">
        <x:v>Second Spring</x:v>
      </x:c>
      <x:c r="E275" s="50" t="str">
        <x:v>Remove one removable healing-reduction effect from the lowest-HP% ally, then heal for 2.00 M.</x:v>
      </x:c>
      <x:c r="F275" s="50" t="str">
        <x:v>Cast when an ally is at 60% HP or lower, or has healing reduction and is below 80%.</x:v>
      </x:c>
    </x:row>
    <x:row r="276" ht="47.5" customHeight="1">
      <x:c r="A276" s="49" t="n">
        <x:v>90</x:v>
      </x:c>
      <x:c r="B276" s="50" t="str">
        <x:v>Mossling</x:v>
      </x:c>
      <x:c r="C276" s="49" t="n">
        <x:v>4</x:v>
      </x:c>
      <x:c r="D276" s="50" t="str">
        <x:v>Root-Mitten Mash</x:v>
      </x:c>
      <x:c r="E276" s="50" t="str">
        <x:v>Deal 1.10 A physical damage and heal self for 2% H. Does not spend Seedlings.</x:v>
      </x:c>
      <x:c r="F276" s="50" t="str">
        <x:v>Cast on the current legal target; no additional condition.</x:v>
      </x:c>
    </x:row>
    <x:row r="277" ht="38" customHeight="1">
      <x:c r="A277" s="49" t="n">
        <x:v>90</x:v>
      </x:c>
      <x:c r="B277" s="50" t="str">
        <x:v>Mossling</x:v>
      </x:c>
      <x:c r="C277" s="49" t="n">
        <x:v>8</x:v>
      </x:c>
      <x:c r="D277" s="50" t="str">
        <x:v>Moss Patch</x:v>
      </x:c>
      <x:c r="E277" s="50" t="str">
        <x:v>Shield the trainer for 8% H plus 2% H per Seedling consumed, for 3s.</x:v>
      </x:c>
      <x:c r="F277" s="50" t="str">
        <x:v>Cast when trainer is targeted or at 70% HP or lower.</x:v>
      </x:c>
    </x:row>
    <x:row r="278" ht="60" customHeight="1">
      <x:c r="A278" s="49" t="n">
        <x:v>90</x:v>
      </x:c>
      <x:c r="B278" s="50" t="str">
        <x:v>Mossling</x:v>
      </x:c>
      <x:c r="C278" s="49" t="n">
        <x:v>12</x:v>
      </x:c>
      <x:c r="D278" s="50" t="str">
        <x:v>Head Garden</x:v>
      </x:c>
      <x:c r="E278" s="50" t="str">
        <x:v>Heal every living ally for 0.75 M. Seedlings add 0.25 M each to the lowest-HP% ally only. This is the optional MATK branch.</x:v>
      </x:c>
      <x:c r="F278" s="50" t="str">
        <x:v>Cast when trainer is below 60% HP or two allies are below 80%.</x:v>
      </x:c>
    </x:row>
    <x:row r="279" ht="38" customHeight="1">
      <x:c r="A279" s="49" t="n">
        <x:v>91</x:v>
      </x:c>
      <x:c r="B279" s="50" t="str">
        <x:v>Skycorolla</x:v>
      </x:c>
      <x:c r="C279" s="49" t="n">
        <x:v>4</x:v>
      </x:c>
      <x:c r="D279" s="50" t="str">
        <x:v>Petal Slicer</x:v>
      </x:c>
      <x:c r="E279" s="50" t="str">
        <x:v>Deal 1.30 M magic damage.</x:v>
      </x:c>
      <x:c r="F279" s="50" t="str">
        <x:v>Cast on the current legal target; no additional condition.</x:v>
      </x:c>
    </x:row>
    <x:row r="280" ht="47.5" customHeight="1">
      <x:c r="A280" s="49" t="n">
        <x:v>91</x:v>
      </x:c>
      <x:c r="B280" s="50" t="str">
        <x:v>Skycorolla</x:v>
      </x:c>
      <x:c r="C280" s="49" t="n">
        <x:v>8</x:v>
      </x:c>
      <x:c r="D280" s="50" t="str">
        <x:v>Seedwind</x:v>
      </x:c>
      <x:c r="E280" s="50" t="str">
        <x:v>Deal 1.75 M magic damage and reduce target magic mitigation by 5 percentage points for 3s.</x:v>
      </x:c>
      <x:c r="F280" s="50" t="str">
        <x:v>Cast on the current legal target; no additional condition.</x:v>
      </x:c>
    </x:row>
    <x:row r="281" ht="110" customHeight="1">
      <x:c r="A281" s="49" t="n">
        <x:v>91</x:v>
      </x:c>
      <x:c r="B281" s="50" t="str">
        <x:v>Skycorolla</x:v>
      </x:c>
      <x:c r="C281" s="49" t="n">
        <x:v>12</x:v>
      </x:c>
      <x:c r="D281" s="50" t="str">
        <x:v>Four-Petal Cyclone</x:v>
      </x:c>
      <x:c r="E281" s="50" t="str">
        <x:v>Deal 2.70 M magic damage to the current target and 0.40 M to up to 2 additional enemies within 2R of it. Each Crosswind consumed by this cast instead adds 0.35 M to the primary target only. Unused splash cannot hit the primary target again. Summon attacks do not generate Crosswinds.</x:v>
      </x:c>
      <x:c r="F281" s="50" t="str">
        <x:v>Cast on the current legal target; no additional condition.</x:v>
      </x:c>
    </x:row>
    <x:row r="282" ht="38" customHeight="1">
      <x:c r="A282" s="49" t="n">
        <x:v>92</x:v>
      </x:c>
      <x:c r="B282" s="50" t="str">
        <x:v>Ambercolossus</x:v>
      </x:c>
      <x:c r="C282" s="49" t="n">
        <x:v>4</x:v>
      </x:c>
      <x:c r="D282" s="50" t="str">
        <x:v>Core Maul</x:v>
      </x:c>
      <x:c r="E282" s="50" t="str">
        <x:v>Deal 1.20 A physical damage and gain a 3% H self-shield for 2s.</x:v>
      </x:c>
      <x:c r="F282" s="50" t="str">
        <x:v>Cast on the current legal target; no additional condition.</x:v>
      </x:c>
    </x:row>
    <x:row r="283" ht="38" customHeight="1">
      <x:c r="A283" s="49" t="n">
        <x:v>92</x:v>
      </x:c>
      <x:c r="B283" s="50" t="str">
        <x:v>Ambercolossus</x:v>
      </x:c>
      <x:c r="C283" s="49" t="n">
        <x:v>8</x:v>
      </x:c>
      <x:c r="D283" s="50" t="str">
        <x:v>Amber Encasement</x:v>
      </x:c>
      <x:c r="E283" s="50" t="str">
        <x:v>Shield the trainer for 11% H for 3s.</x:v>
      </x:c>
      <x:c r="F283" s="50" t="str">
        <x:v>Cast when trainer is targeted or at 70% HP or lower.</x:v>
      </x:c>
    </x:row>
    <x:row r="284" ht="47.5" customHeight="1">
      <x:c r="A284" s="49" t="n">
        <x:v>92</x:v>
      </x:c>
      <x:c r="B284" s="50" t="str">
        <x:v>Ambercolossus</x:v>
      </x:c>
      <x:c r="C284" s="49" t="n">
        <x:v>12</x:v>
      </x:c>
      <x:c r="D284" s="50" t="str">
        <x:v>Colossus Stand</x:v>
      </x:c>
      <x:c r="E284" s="50" t="str">
        <x:v>Heal self for 6% H and redirect 30% of trainer direct damage to Ambercolossus for 3s.</x:v>
      </x:c>
      <x:c r="F284" s="50" t="str">
        <x:v>Cast above 40% HP when trainer is targeted or at 60% HP or lower.</x:v>
      </x:c>
    </x:row>
    <x:row r="285" ht="38" customHeight="1">
      <x:c r="A285" s="49" t="n">
        <x:v>93</x:v>
      </x:c>
      <x:c r="B285" s="50" t="str">
        <x:v>Bloomslime</x:v>
      </x:c>
      <x:c r="C285" s="49" t="n">
        <x:v>4</x:v>
      </x:c>
      <x:c r="D285" s="50" t="str">
        <x:v>Bud Pulse</x:v>
      </x:c>
      <x:c r="E285" s="50" t="str">
        <x:v>Deal 1.15 M magic damage and gain a 0.30 M self-shield for 2s.</x:v>
      </x:c>
      <x:c r="F285" s="50" t="str">
        <x:v>Cast on the current legal target; no additional condition.</x:v>
      </x:c>
    </x:row>
    <x:row r="286" ht="38" customHeight="1">
      <x:c r="A286" s="49" t="n">
        <x:v>93</x:v>
      </x:c>
      <x:c r="B286" s="50" t="str">
        <x:v>Bloomslime</x:v>
      </x:c>
      <x:c r="C286" s="49" t="n">
        <x:v>8</x:v>
      </x:c>
      <x:c r="D286" s="50" t="str">
        <x:v>Slime Encasement</x:v>
      </x:c>
      <x:c r="E286" s="50" t="str">
        <x:v>Shield the trainer for 1.00 M + 3% H for 3s.</x:v>
      </x:c>
      <x:c r="F286" s="50" t="str">
        <x:v>Cast when trainer is targeted or at 75% HP or lower.</x:v>
      </x:c>
    </x:row>
    <x:row r="287" ht="38" customHeight="1">
      <x:c r="A287" s="49" t="n">
        <x:v>93</x:v>
      </x:c>
      <x:c r="B287" s="50" t="str">
        <x:v>Bloomslime</x:v>
      </x:c>
      <x:c r="C287" s="49" t="n">
        <x:v>12</x:v>
      </x:c>
      <x:c r="D287" s="50" t="str">
        <x:v>Closed Garden</x:v>
      </x:c>
      <x:c r="E287" s="50" t="str">
        <x:v>Gain a 12% H self-shield for 4s and heal the lowest-HP% ally for 1.10 M.</x:v>
      </x:c>
      <x:c r="F287" s="50" t="str">
        <x:v>Cast while targeted and below 75% HP, or trainer below 65% HP.</x:v>
      </x:c>
    </x:row>
    <x:row r="288" ht="47.5" customHeight="1">
      <x:c r="A288" s="49" t="n">
        <x:v>94</x:v>
      </x:c>
      <x:c r="B288" s="50" t="str">
        <x:v>Echochime</x:v>
      </x:c>
      <x:c r="C288" s="49" t="n">
        <x:v>4</x:v>
      </x:c>
      <x:c r="D288" s="50" t="str">
        <x:v>Tuning Tap</x:v>
      </x:c>
      <x:c r="E288" s="50" t="str">
        <x:v>Deal 1.10 M magic damage; with a valid Note recorded, also gain a 0.30 M self-shield for 2s.</x:v>
      </x:c>
      <x:c r="F288" s="50" t="str">
        <x:v>Cast on the current legal target; no additional condition.</x:v>
      </x:c>
    </x:row>
    <x:row r="289" ht="97.5" customHeight="1">
      <x:c r="A289" s="49" t="n">
        <x:v>94</x:v>
      </x:c>
      <x:c r="B289" s="50" t="str">
        <x:v>Echochime</x:v>
      </x:c>
      <x:c r="C289" s="49" t="n">
        <x:v>8</x:v>
      </x:c>
      <x:c r="D289" s="50" t="str">
        <x:v>Second Note</x:v>
      </x:c>
      <x:c r="E289" s="50" t="str">
        <x:v>Copy 45% of the recorded primary amount, capped at 1.30 M. Damage copies become magic against the current legal target; heal/shield copies select the lowest-HP% ally. Shields last 3s. Copy no secondary effects.</x:v>
      </x:c>
      <x:c r="F289" s="50" t="str">
        <x:v>Require a valid Note. For healing, require an ally below 80%; for shielding, require an ally targeted or below 80%.</x:v>
      </x:c>
    </x:row>
    <x:row r="290" ht="72.5" customHeight="1">
      <x:c r="A290" s="49" t="n">
        <x:v>94</x:v>
      </x:c>
      <x:c r="B290" s="50" t="str">
        <x:v>Echochime</x:v>
      </x:c>
      <x:c r="C290" s="49" t="n">
        <x:v>12</x:v>
      </x:c>
      <x:c r="D290" s="50" t="str">
        <x:v>Grand Refrain</x:v>
      </x:c>
      <x:c r="E290" s="50" t="str">
        <x:v>Copy 70% of the recorded primary amount, capped at 2.00 M, with Second Note's targeting rules; also give the trainer a 0.50 M shield for 3s. The record is not consumed.</x:v>
      </x:c>
      <x:c r="F290" s="50" t="str">
        <x:v>Require a valid Note. Healing/shielding copies use the same usefulness gates as Second Note.</x:v>
      </x:c>
    </x:row>
    <x:row r="291" ht="38" customHeight="1">
      <x:c r="A291" s="49" t="n">
        <x:v>95</x:v>
      </x:c>
      <x:c r="B291" s="50" t="str">
        <x:v>Inksprite</x:v>
      </x:c>
      <x:c r="C291" s="49" t="n">
        <x:v>4</x:v>
      </x:c>
      <x:c r="D291" s="50" t="str">
        <x:v>Blot Flick</x:v>
      </x:c>
      <x:c r="E291" s="50" t="str">
        <x:v>Deal 1.20 A physical damage and reduce target HIT by 15 for 3s.</x:v>
      </x:c>
      <x:c r="F291" s="50" t="str">
        <x:v>Cast on the current legal target.</x:v>
      </x:c>
    </x:row>
    <x:row r="292" ht="197.5" customHeight="1">
      <x:c r="A292" s="49" t="n">
        <x:v>95</x:v>
      </x:c>
      <x:c r="B292" s="50" t="str">
        <x:v>Inksprite</x:v>
      </x:c>
      <x:c r="C292" s="49" t="n">
        <x:v>8</x:v>
      </x:c>
      <x:c r="D292" s="50" t="str">
        <x:v>Dripping Double</x:v>
      </x:c>
      <x:c r="E292" s="50" t="str">
        <x:v>Deal 0.90 A physical damage and create one Ink Double for 3s with 8% H HP at an adjacent legal position. The current enemy's next eligible basic attack within 1.5s is directed to the Double if it is reachable at attack commitment; active skills and area attacks are unaffected. On consumption or expiry of that lure, the original target lock resumes with no target-switch proc. When enemy damage destroys the Double, splash ink reduces HIT by 20 for 2s on up to 3 enemies within 1.5R. Expiry gives no splash.</x:v>
      </x:c>
      <x:c r="F292" s="50" t="str">
        <x:v>Cast on a current enemy with basic attacks when no Ink Double is alive; choose a spawn point in that enemy's existing reach. If none exists, deal the initial damage only and do not force movement.</x:v>
      </x:c>
    </x:row>
    <x:row r="293" ht="60" customHeight="1">
      <x:c r="A293" s="49" t="n">
        <x:v>95</x:v>
      </x:c>
      <x:c r="B293" s="50" t="str">
        <x:v>Inksprite</x:v>
      </x:c>
      <x:c r="C293" s="49" t="n">
        <x:v>12</x:v>
      </x:c>
      <x:c r="D293" s="50" t="str">
        <x:v>Erase the Face</x:v>
      </x:c>
      <x:c r="E293" s="50" t="str">
        <x:v>Deal 2.80 A physical damage and apply a 25 HIT reduction for 3s if stronger than the current same-category penalty.</x:v>
      </x:c>
      <x:c r="F293" s="50" t="str">
        <x:v>Cast on the current legal target.</x:v>
      </x:c>
    </x:row>
    <x:row r="294" ht="38" customHeight="1">
      <x:c r="A294" s="49" t="n">
        <x:v>96</x:v>
      </x:c>
      <x:c r="B294" s="50" t="str">
        <x:v>Cairnkin</x:v>
      </x:c>
      <x:c r="C294" s="49" t="n">
        <x:v>4</x:v>
      </x:c>
      <x:c r="D294" s="50" t="str">
        <x:v>Jawbone Check</x:v>
      </x:c>
      <x:c r="E294" s="50" t="str">
        <x:v>Deal 1.15 A physical damage and gain a 4% H self-shield for 2s.</x:v>
      </x:c>
      <x:c r="F294" s="50" t="str">
        <x:v>Cast on the current legal target; no additional condition.</x:v>
      </x:c>
    </x:row>
    <x:row r="295" ht="38" customHeight="1">
      <x:c r="A295" s="49" t="n">
        <x:v>96</x:v>
      </x:c>
      <x:c r="B295" s="50" t="str">
        <x:v>Cairnkin</x:v>
      </x:c>
      <x:c r="C295" s="49" t="n">
        <x:v>8</x:v>
      </x:c>
      <x:c r="D295" s="50" t="str">
        <x:v>Mortar Memory</x:v>
      </x:c>
      <x:c r="E295" s="50" t="str">
        <x:v>Heal self for 8% H and shield the trainer for 4% H for 3s.</x:v>
      </x:c>
      <x:c r="F295" s="50" t="str">
        <x:v>Cast when self is below 75% HP or trainer is targeted.</x:v>
      </x:c>
    </x:row>
    <x:row r="296" ht="47.5" customHeight="1">
      <x:c r="A296" s="49" t="n">
        <x:v>96</x:v>
      </x:c>
      <x:c r="B296" s="50" t="str">
        <x:v>Cairnkin</x:v>
      </x:c>
      <x:c r="C296" s="49" t="n">
        <x:v>12</x:v>
      </x:c>
      <x:c r="D296" s="50" t="str">
        <x:v>Oath of Bones</x:v>
      </x:c>
      <x:c r="E296" s="50" t="str">
        <x:v>Redirect 30% of trainer direct damage to Cairnkin for 3s; gain 10% physical damage reduction for 3s.</x:v>
      </x:c>
      <x:c r="F296" s="50" t="str">
        <x:v>Cast above 45% HP when trainer is targeted or below 65% HP.</x:v>
      </x:c>
    </x:row>
    <x:row r="297" ht="47.5" customHeight="1">
      <x:c r="A297" s="49" t="n">
        <x:v>97</x:v>
      </x:c>
      <x:c r="B297" s="50" t="str">
        <x:v>Casketot</x:v>
      </x:c>
      <x:c r="C297" s="49" t="n">
        <x:v>4</x:v>
      </x:c>
      <x:c r="D297" s="50" t="str">
        <x:v>Hinge Hex</x:v>
      </x:c>
      <x:c r="E297" s="50" t="str">
        <x:v>Deal 1.15 M magic damage; the target's next damaging magical active within 3s deals 12% less damage.</x:v>
      </x:c>
      <x:c r="F297" s="50" t="str">
        <x:v>Cast on the current legal target; no additional condition.</x:v>
      </x:c>
    </x:row>
    <x:row r="298" ht="38" customHeight="1">
      <x:c r="A298" s="49" t="n">
        <x:v>97</x:v>
      </x:c>
      <x:c r="B298" s="50" t="str">
        <x:v>Casketot</x:v>
      </x:c>
      <x:c r="C298" s="49" t="n">
        <x:v>8</x:v>
      </x:c>
      <x:c r="D298" s="50" t="str">
        <x:v>Close the Lid</x:v>
      </x:c>
      <x:c r="E298" s="50" t="str">
        <x:v>Gain a self-shield equal to 10% H + 0.60 M for 3s.</x:v>
      </x:c>
      <x:c r="F298" s="50" t="str">
        <x:v>Cast while targeted or at 70% HP or lower.</x:v>
      </x:c>
    </x:row>
    <x:row r="299" ht="38" customHeight="1">
      <x:c r="A299" s="49" t="n">
        <x:v>97</x:v>
      </x:c>
      <x:c r="B299" s="50" t="str">
        <x:v>Casketot</x:v>
      </x:c>
      <x:c r="C299" s="49" t="n">
        <x:v>12</x:v>
      </x:c>
      <x:c r="D299" s="50" t="str">
        <x:v>Safe Inside</x:v>
      </x:c>
      <x:c r="E299" s="50" t="str">
        <x:v>Heal self for 8% H and shield the trainer for 1.20 M for 3s.</x:v>
      </x:c>
      <x:c r="F299" s="50" t="str">
        <x:v>Cast when self is below 75% HP or trainer is targeted.</x:v>
      </x:c>
    </x:row>
    <x:row r="300" ht="38" customHeight="1">
      <x:c r="A300" s="49" t="n">
        <x:v>98</x:v>
      </x:c>
      <x:c r="B300" s="50" t="str">
        <x:v>Kilncoil</x:v>
      </x:c>
      <x:c r="C300" s="49" t="n">
        <x:v>4</x:v>
      </x:c>
      <x:c r="D300" s="50" t="str">
        <x:v>Kiln Ram</x:v>
      </x:c>
      <x:c r="E300" s="50" t="str">
        <x:v>Deal 1.35 A physical damage; against the remembered attacker, add 0.25 A.</x:v>
      </x:c>
      <x:c r="F300" s="50" t="str">
        <x:v>Cast on the current legal target; no additional condition.</x:v>
      </x:c>
    </x:row>
    <x:row r="301" ht="47.5" customHeight="1">
      <x:c r="A301" s="49" t="n">
        <x:v>98</x:v>
      </x:c>
      <x:c r="B301" s="50" t="str">
        <x:v>Kilncoil</x:v>
      </x:c>
      <x:c r="C301" s="49" t="n">
        <x:v>8</x:v>
      </x:c>
      <x:c r="D301" s="50" t="str">
        <x:v>Firebrick Curl</x:v>
      </x:c>
      <x:c r="E301" s="50" t="str">
        <x:v>Heal self for 6% H and gain 15% damage reduction for 2s.</x:v>
      </x:c>
      <x:c r="F301" s="50" t="str">
        <x:v>Cast at 75% HP or lower, or while being targeted by at least two enemies.</x:v>
      </x:c>
    </x:row>
    <x:row r="302" ht="47.5" customHeight="1">
      <x:c r="A302" s="49" t="n">
        <x:v>98</x:v>
      </x:c>
      <x:c r="B302" s="50" t="str">
        <x:v>Kilncoil</x:v>
      </x:c>
      <x:c r="C302" s="49" t="n">
        <x:v>12</x:v>
      </x:c>
      <x:c r="D302" s="50" t="str">
        <x:v>Kiln-Tail Crush</x:v>
      </x:c>
      <x:c r="E302" s="50" t="str">
        <x:v>Deal 2.70 A physical damage and reduce target physical mitigation by 6 percentage points for 3s.</x:v>
      </x:c>
      <x:c r="F302" s="50" t="str">
        <x:v>Cast on the current legal target; no additional condition.</x:v>
      </x:c>
    </x:row>
    <x:row r="303" ht="47.5" customHeight="1">
      <x:c r="A303" s="49" t="n">
        <x:v>99</x:v>
      </x:c>
      <x:c r="B303" s="50" t="str">
        <x:v>Maskin</x:v>
      </x:c>
      <x:c r="C303" s="49" t="n">
        <x:v>4</x:v>
      </x:c>
      <x:c r="D303" s="50" t="str">
        <x:v>Polite Mockery</x:v>
      </x:c>
      <x:c r="E303" s="50" t="str">
        <x:v>Deal 1.20 M magic damage and reduce the target's damage dealt by 8% for 2s. Primary effect: damage.</x:v>
      </x:c>
      <x:c r="F303" s="50" t="str">
        <x:v>Cast on the current legal target.</x:v>
      </x:c>
    </x:row>
    <x:row r="304" ht="122.5" customHeight="1">
      <x:c r="A304" s="49" t="n">
        <x:v>99</x:v>
      </x:c>
      <x:c r="B304" s="50" t="str">
        <x:v>Maskin</x:v>
      </x:c>
      <x:c r="C304" s="49" t="n">
        <x:v>8</x:v>
      </x:c>
      <x:c r="D304" s="50" t="str">
        <x:v>Unmask the Tricksters</x:v>
      </x:c>
      <x:c r="E304" s="50" t="str">
        <x:v>Detach two Trickster Spirits for 5s, each with 5% H HP. Each fires a 0.18 M magic bolt every 1s, first at 0.5s, maximum 5 bolts, using normal ranged targeting. The mask keeps its own ordinary attack rate; combined coefficients, not extra core-monster stats, budget the benefit. Maximum 2 detached spirits of any kind.</x:v>
      </x:c>
      <x:c r="F304" s="50" t="str">
        <x:v>Cast with a legal enemy and no detached spirit alive. Does not require a previous death.</x:v>
      </x:c>
    </x:row>
    <x:row r="305" ht="147.5" customHeight="1">
      <x:c r="A305" s="49" t="n">
        <x:v>99</x:v>
      </x:c>
      <x:c r="B305" s="50" t="str">
        <x:v>Maskin</x:v>
      </x:c>
      <x:c r="C305" s="49" t="n">
        <x:v>8</x:v>
      </x:c>
      <x:c r="D305" s="50" t="str">
        <x:v>False Smile</x:v>
      </x:c>
      <x:c r="E305" s="50" t="str">
        <x:v>Detach two Guardian Spirits for 5s, each with 5% H HP, one beside the trainer and one beside the other living core monster. On arrival each shields its assigned ally for 0.40 M for 3s; at 2s and 4s it heals that same living ally for 0.20 M. If the second core monster is dead, create only the trainer's spirit. No attacks, assignment switching or replacement ally.</x:v>
      </x:c>
      <x:c r="F305" s="50" t="str">
        <x:v>Cast with no detached spirit when another core ally is targeted or below 80% HP.</x:v>
      </x:c>
    </x:row>
    <x:row r="306" ht="97.5" customHeight="1">
      <x:c r="A306" s="50" t="n">
        <x:v>99</x:v>
      </x:c>
      <x:c r="B306" s="50" t="str">
        <x:v>Maskin</x:v>
      </x:c>
      <x:c r="C306" s="50" t="n">
        <x:v>12</x:v>
      </x:c>
      <x:c r="D306" s="50" t="str">
        <x:v>Three-Voice Verdict</x:v>
      </x:c>
      <x:c r="E306" s="50" t="str">
        <x:v>Deal 2.45 M magic damage and shield the lowest-HP% core ally for 0.70 M for 3s. Existing spirits remain until their normal expiry; the cast neither duplicates them nor repeats their remaining lifetime output. Primary effect: damage.</x:v>
      </x:c>
      <x:c r="F306" s="50" t="str">
        <x:v>Cast on the current legal target.</x:v>
      </x:c>
    </x:row>
    <x:row r="307" ht="38" customHeight="1">
      <x:c r="A307" s="50" t="n">
        <x:v>100</x:v>
      </x:c>
      <x:c r="B307" s="50" t="str">
        <x:v>Shellsnail</x:v>
      </x:c>
      <x:c r="C307" s="50" t="n">
        <x:v>4</x:v>
      </x:c>
      <x:c r="D307" s="50" t="str">
        <x:v>Spiral Fist</x:v>
      </x:c>
      <x:c r="E307" s="50" t="str">
        <x:v>Deal 1.35 A physical damage.</x:v>
      </x:c>
      <x:c r="F307" s="50" t="str">
        <x:v>Cast on the current legal target; no additional condition.</x:v>
      </x:c>
    </x:row>
    <x:row r="308" ht="38" customHeight="1">
      <x:c r="A308" s="50" t="n">
        <x:v>100</x:v>
      </x:c>
      <x:c r="B308" s="50" t="str">
        <x:v>Shellsnail</x:v>
      </x:c>
      <x:c r="C308" s="50" t="n">
        <x:v>8</x:v>
      </x:c>
      <x:c r="D308" s="50" t="str">
        <x:v>Seal the Shell</x:v>
      </x:c>
      <x:c r="E308" s="50" t="str">
        <x:v>Heal self for 8% H and gain 15% physical damage reduction for 2s.</x:v>
      </x:c>
      <x:c r="F308" s="50" t="str">
        <x:v>Cast at 75% HP or lower.</x:v>
      </x:c>
    </x:row>
    <x:row r="309" ht="60" customHeight="1">
      <x:c r="A309" s="50" t="n">
        <x:v>100</x:v>
      </x:c>
      <x:c r="B309" s="50" t="str">
        <x:v>Shellsnail</x:v>
      </x:c>
      <x:c r="C309" s="50" t="n">
        <x:v>12</x:v>
      </x:c>
      <x:c r="D309" s="50" t="str">
        <x:v>Reverse Spiral</x:v>
      </x:c>
      <x:c r="E309" s="50" t="str">
        <x:v>Deal 2.80 A physical damage; if it spends a Coil, also reduce target physical mitigation by 5 percentage points for 3s.</x:v>
      </x:c>
      <x:c r="F309" s="50" t="str">
        <x:v>Cast on the current legal target; no additional condition.</x:v>
      </x:c>
    </x:row>
  </x:sheetData>
  <x:mergeCells>
    <x:mergeCell ref="A1:F2"/>
    <x:mergeCell ref="A3:F3"/>
  </x:mergeCells>
  <x:conditionalFormatting sqref="C6:C305">
    <x:cfRule type="cellIs" dxfId="2" priority="1" operator="equal">
      <x:formula>4</x:formula>
    </x:cfRule>
    <x:cfRule type="cellIs" dxfId="3" priority="2" operator="equal">
      <x:formula>8</x:formula>
    </x:cfRule>
    <x:cfRule type="cellIs" dxfId="4" priority="3" operator="equal">
      <x:formula>12</x:formula>
    </x:cfRule>
  </x:conditionalFormatting>
  <x:pageMargins left="0.7" right="0.7" top="0.75" bottom="0.75" header="0.3" footer="0.3"/>
  <x:tableParts count="1">
    <x:tablePart xmlns:r="http://schemas.openxmlformats.org/officeDocument/2006/relationships" r:id="R82f4cd1be79f4c54"/>
  </x:tableParts>
</x:worksheet>
</file>

<file path=xl/worksheets/sheet4.xml><?xml version="1.0" encoding="utf-8"?>
<x:worksheet xmlns:x="http://schemas.openxmlformats.org/spreadsheetml/2006/main">
  <x:sheetFormatPr defaultRowHeight="15"/>
  <x:cols>
    <x:col min="1" max="1" width="7" hidden="0" customWidth="1"/>
    <x:col min="2" max="2" width="18" hidden="0" customWidth="1"/>
    <x:col min="3" max="3" width="26" hidden="0" customWidth="1"/>
    <x:col min="4" max="4" width="26" hidden="0" customWidth="1"/>
    <x:col min="5" max="5" width="28" hidden="0" customWidth="1"/>
    <x:col min="6" max="6" width="24" hidden="0" customWidth="1"/>
    <x:col min="7" max="7" width="24" hidden="0" customWidth="1"/>
    <x:col min="8" max="8" width="24" hidden="0" customWidth="1"/>
    <x:col min="9" max="9" width="40" hidden="0" customWidth="1"/>
  </x:cols>
  <x:sheetData>
    <x:row r="1" ht="19" customHeight="1">
      <x:c r="A1" s="61" t="str">
        <x:v>HUNTARIA  |  TACTICAL BUILDS  ·  v2</x:v>
      </x:c>
      <x:c r="B1" s="61"/>
      <x:c r="C1" s="61"/>
      <x:c r="D1" s="61"/>
      <x:c r="E1" s="61"/>
      <x:c r="F1" s="61"/>
      <x:c r="G1" s="61"/>
      <x:c r="H1" s="61"/>
      <x:c r="I1" s="61"/>
    </x:row>
    <x:row r="2" ht="19" customHeight="1">
      <x:c r="A2" s="61"/>
      <x:c r="B2" s="61"/>
      <x:c r="C2" s="61"/>
      <x:c r="D2" s="61"/>
      <x:c r="E2" s="61"/>
      <x:c r="F2" s="61"/>
      <x:c r="G2" s="61"/>
      <x:c r="H2" s="61"/>
      <x:c r="I2" s="61"/>
    </x:row>
    <x:row r="3" ht="30" customHeight="1">
      <x:c r="A3" s="50" t="str">
        <x:v>200 distinct three-skill loadouts. Deployment bands are not single-occupancy slots; use legal arena positions and reach.</x:v>
      </x:c>
      <x:c r="B3" s="50"/>
      <x:c r="C3" s="50"/>
      <x:c r="D3" s="50"/>
      <x:c r="E3" s="50"/>
      <x:c r="F3" s="50"/>
      <x:c r="G3" s="50"/>
      <x:c r="H3" s="50"/>
      <x:c r="I3" s="50"/>
    </x:row>
    <x:row r="4" ht="9" customHeight="1">
      <x:c r="A4" s="4"/>
      <x:c r="B4" s="4"/>
      <x:c r="C4" s="4"/>
      <x:c r="D4" s="4"/>
      <x:c r="E4" s="4"/>
      <x:c r="F4" s="4"/>
      <x:c r="G4" s="4"/>
      <x:c r="H4" s="4"/>
      <x:c r="I4" s="4"/>
    </x:row>
    <x:row r="5" ht="32" customHeight="1">
      <x:c r="A5" s="56" t="str">
        <x:v>Species ID</x:v>
      </x:c>
      <x:c r="B5" s="56" t="str">
        <x:v>Species</x:v>
      </x:c>
      <x:c r="C5" s="56" t="str">
        <x:v>Strategy</x:v>
      </x:c>
      <x:c r="D5" s="56" t="str">
        <x:v>Placement</x:v>
      </x:c>
      <x:c r="E5" s="56" t="str">
        <x:v>Stat priorities</x:v>
      </x:c>
      <x:c r="F5" s="56" t="str">
        <x:v>4s slot</x:v>
      </x:c>
      <x:c r="G5" s="56" t="str">
        <x:v>8s slot</x:v>
      </x:c>
      <x:c r="H5" s="56" t="str">
        <x:v>12s slot</x:v>
      </x:c>
      <x:c r="I5" s="56" t="str">
        <x:v>How the build works</x:v>
      </x:c>
    </x:row>
    <x:row r="6" ht="60" customHeight="1">
      <x:c r="A6" s="49" t="n">
        <x:v>1</x:v>
      </x:c>
      <x:c r="B6" s="50" t="str">
        <x:v>Tuskettle</x:v>
      </x:c>
      <x:c r="C6" s="50" t="str">
        <x:v>Unbroken escort</x:v>
      </x:c>
      <x:c r="D6" s="50" t="str">
        <x:v>Front</x:v>
      </x:c>
      <x:c r="E6" s="50" t="str">
        <x:v>HP/VIT &gt; DEF/MDEF</x:v>
      </x:c>
      <x:c r="F6" s="50" t="str">
        <x:v>Brace</x:v>
      </x:c>
      <x:c r="G6" s="50" t="str">
        <x:v>Cup the Flame</x:v>
      </x:c>
      <x:c r="H6" s="50" t="str">
        <x:v>Acorn Bunker</x:v>
      </x:c>
      <x:c r="I6" s="50" t="str">
        <x:v>Protect a middle/back mage or hunter. Keep self-shields intact to sustain the trainer's damage reduction; use a healer as the second monster.</x:v>
      </x:c>
    </x:row>
    <x:row r="7" ht="72.5" customHeight="1">
      <x:c r="A7" s="49" t="n">
        <x:v>1</x:v>
      </x:c>
      <x:c r="B7" s="50" t="str">
        <x:v>Tuskettle</x:v>
      </x:c>
      <x:c r="C7" s="50" t="str">
        <x:v>Armored tusks</x:v>
      </x:c>
      <x:c r="D7" s="50" t="str">
        <x:v>Front</x:v>
      </x:c>
      <x:c r="E7" s="50" t="str">
        <x:v>STR/ATK &gt; HP; enough HIT</x:v>
      </x:c>
      <x:c r="F7" s="50" t="str">
        <x:v>Tusk Tuck</x:v>
      </x:c>
      <x:c r="G7" s="50" t="str">
        <x:v>Focused Attack</x:v>
      </x:c>
      <x:c r="H7" s="50" t="str">
        <x:v>Acorn Bunker</x:v>
      </x:c>
      <x:c r="I7" s="50" t="str">
        <x:v>A more aggressive escort for a druid trainer: use the opening shield to empower Tusk Tuck, then rebuild it through Bunker rather than spending both larger slots on protection.</x:v>
      </x:c>
    </x:row>
    <x:row r="8" ht="60" customHeight="1">
      <x:c r="A8" s="49" t="n">
        <x:v>2</x:v>
      </x:c>
      <x:c r="B8" s="50" t="str">
        <x:v>Wickeep</x:v>
      </x:c>
      <x:c r="C8" s="50" t="str">
        <x:v>Steady candle</x:v>
      </x:c>
      <x:c r="D8" s="50" t="str">
        <x:v>Back</x:v>
      </x:c>
      <x:c r="E8" s="50" t="str">
        <x:v>DEX/ATK &gt; AGI; enough HIT</x:v>
      </x:c>
      <x:c r="F8" s="50" t="str">
        <x:v>Waxpin</x:v>
      </x:c>
      <x:c r="G8" s="50" t="str">
        <x:v>Battle Rhythm</x:v>
      </x:c>
      <x:c r="H8" s="50" t="str">
        <x:v>Last Light Volley</x:v>
      </x:c>
      <x:c r="I8" s="50" t="str">
        <x:v>Pair with a durable front monster and a healthy trainer. Repeated precise hits provide reliable damage without depending on the danger bonus.</x:v>
      </x:c>
    </x:row>
    <x:row r="9" ht="72.5" customHeight="1">
      <x:c r="A9" s="49" t="n">
        <x:v>2</x:v>
      </x:c>
      <x:c r="B9" s="50" t="str">
        <x:v>Wickeep</x:v>
      </x:c>
      <x:c r="C9" s="50" t="str">
        <x:v>Emergency marksman</x:v>
      </x:c>
      <x:c r="D9" s="50" t="str">
        <x:v>Middle/back</x:v>
      </x:c>
      <x:c r="E9" s="50" t="str">
        <x:v>DEX/ATK &gt; HP &gt; HIT</x:v>
      </x:c>
      <x:c r="F9" s="50" t="str">
        <x:v>Waxpin</x:v>
      </x:c>
      <x:c r="G9" s="50" t="str">
        <x:v>Cupped Ember</x:v>
      </x:c>
      <x:c r="H9" s="50" t="str">
        <x:v>Last Light Volley</x:v>
      </x:c>
      <x:c r="I9" s="50" t="str">
        <x:v>Support a frontline knight: the ward buys time while the threat bonus helps finish the knight's attacker. The shield, not intentionally low trainer HP, is the plan.</x:v>
      </x:c>
    </x:row>
    <x:row r="10" ht="72.5" customHeight="1">
      <x:c r="A10" s="49" t="n">
        <x:v>3</x:v>
      </x:c>
      <x:c r="B10" s="50" t="str">
        <x:v>Lunaskein</x:v>
      </x:c>
      <x:c r="C10" s="50" t="str">
        <x:v>Alternating crescent</x:v>
      </x:c>
      <x:c r="D10" s="50" t="str">
        <x:v>Back</x:v>
      </x:c>
      <x:c r="E10" s="50" t="str">
        <x:v>INT/MATK &gt; HP</x:v>
      </x:c>
      <x:c r="F10" s="50" t="str">
        <x:v>Crescent Cut</x:v>
      </x:c>
      <x:c r="G10" s="50" t="str">
        <x:v>Moon Hem</x:v>
      </x:c>
      <x:c r="H10" s="50" t="str">
        <x:v>Eclipse Ribbon</x:v>
      </x:c>
      <x:c r="I10" s="50" t="str">
        <x:v>Use all three signatures with a knight or durable front monster. Support casts empower the next offensive cast and vice versa without adding a manual rotation.</x:v>
      </x:c>
    </x:row>
    <x:row r="11" ht="72.5" customHeight="1">
      <x:c r="A11" s="49" t="n">
        <x:v>3</x:v>
      </x:c>
      <x:c r="B11" s="50" t="str">
        <x:v>Lunaskein</x:v>
      </x:c>
      <x:c r="C11" s="50" t="str">
        <x:v>Moonlight attendant</x:v>
      </x:c>
      <x:c r="D11" s="50" t="str">
        <x:v>Middle/back</x:v>
      </x:c>
      <x:c r="E11" s="50" t="str">
        <x:v>INT/MATK &gt; VIT/MDEF</x:v>
      </x:c>
      <x:c r="F11" s="50" t="str">
        <x:v>Basic Ward</x:v>
      </x:c>
      <x:c r="G11" s="50" t="str">
        <x:v>Moon Hem</x:v>
      </x:c>
      <x:c r="H11" s="50" t="str">
        <x:v>Eclipse Ribbon</x:v>
      </x:c>
      <x:c r="I11" s="50" t="str">
        <x:v>Trade the frequent damage button for more protection around a hunter or mage. Eclipse is the offensive trigger that keeps the support empowerment available.</x:v>
      </x:c>
    </x:row>
    <x:row r="12" ht="60" customHeight="1">
      <x:c r="A12" s="49" t="n">
        <x:v>4</x:v>
      </x:c>
      <x:c r="B12" s="50" t="str">
        <x:v>Slagjaw</x:v>
      </x:c>
      <x:c r="C12" s="50" t="str">
        <x:v>Opening-burst wall</x:v>
      </x:c>
      <x:c r="D12" s="50" t="str">
        <x:v>Front</x:v>
      </x:c>
      <x:c r="E12" s="50" t="str">
        <x:v>HP/VIT &gt; MDEF/DEF</x:v>
      </x:c>
      <x:c r="F12" s="50" t="str">
        <x:v>Brace</x:v>
      </x:c>
      <x:c r="G12" s="50" t="str">
        <x:v>Clamped Maw</x:v>
      </x:c>
      <x:c r="H12" s="50" t="str">
        <x:v>Pillar Brace</x:v>
      </x:c>
      <x:c r="I12" s="50" t="str">
        <x:v>Use against strong opening actives. First-hit protection and Clamped Maw soften successive bursts while Pillar Brace covers a vulnerable trainer.</x:v>
      </x:c>
    </x:row>
    <x:row r="13" ht="60" customHeight="1">
      <x:c r="A13" s="49" t="n">
        <x:v>4</x:v>
      </x:c>
      <x:c r="B13" s="50" t="str">
        <x:v>Slagjaw</x:v>
      </x:c>
      <x:c r="C13" s="50" t="str">
        <x:v>Armor-cracking jaw</x:v>
      </x:c>
      <x:c r="D13" s="50" t="str">
        <x:v>Front</x:v>
      </x:c>
      <x:c r="E13" s="50" t="str">
        <x:v>STR/ATK &gt; HP &gt; HIT</x:v>
      </x:c>
      <x:c r="F13" s="50" t="str">
        <x:v>Basalt Bite</x:v>
      </x:c>
      <x:c r="G13" s="50" t="str">
        <x:v>Clamped Maw</x:v>
      </x:c>
      <x:c r="H13" s="50" t="str">
        <x:v>Fortify</x:v>
      </x:c>
      <x:c r="I13" s="50" t="str">
        <x:v>Pair with a hunter or physical damage monster. Contribute armor reduction and pressure while retaining one generic survival slot.</x:v>
      </x:c>
    </x:row>
    <x:row r="14" ht="72.5" customHeight="1">
      <x:c r="A14" s="49" t="n">
        <x:v>5</x:v>
      </x:c>
      <x:c r="B14" s="50" t="str">
        <x:v>Bellowsnout</x:v>
      </x:c>
      <x:c r="C14" s="50" t="str">
        <x:v>Rapid pump</x:v>
      </x:c>
      <x:c r="D14" s="50" t="str">
        <x:v>Front</x:v>
      </x:c>
      <x:c r="E14" s="50" t="str">
        <x:v>STR/ATK &gt; AGI &gt; HP</x:v>
      </x:c>
      <x:c r="F14" s="50" t="str">
        <x:v>Snout Piston</x:v>
      </x:c>
      <x:c r="G14" s="50" t="str">
        <x:v>Battle Rhythm</x:v>
      </x:c>
      <x:c r="H14" s="50" t="str">
        <x:v>Boiler Bellow</x:v>
      </x:c>
      <x:c r="I14" s="50" t="str">
        <x:v>Use a healer behind it. Faster basic attacks produce Pressure for repeated blows; the kit pays off within the first few seconds rather than needing a long ramp.</x:v>
      </x:c>
    </x:row>
    <x:row r="15" ht="60" customHeight="1">
      <x:c r="A15" s="49" t="n">
        <x:v>5</x:v>
      </x:c>
      <x:c r="B15" s="50" t="str">
        <x:v>Bellowsnout</x:v>
      </x:c>
      <x:c r="C15" s="50" t="str">
        <x:v>Pressure bruiser</x:v>
      </x:c>
      <x:c r="D15" s="50" t="str">
        <x:v>Front</x:v>
      </x:c>
      <x:c r="E15" s="50" t="str">
        <x:v>HP/VIT &gt; STR/ATK &gt; DEF</x:v>
      </x:c>
      <x:c r="F15" s="50" t="str">
        <x:v>Snout Piston</x:v>
      </x:c>
      <x:c r="G15" s="50" t="str">
        <x:v>Deep Intake</x:v>
      </x:c>
      <x:c r="H15" s="50" t="str">
        <x:v>Boiler Bellow</x:v>
      </x:c>
      <x:c r="I15" s="50" t="str">
        <x:v>Use the intake shield to remain beside a frontline knight. Pressure supplies useful damage even when gear is partly defensive.</x:v>
      </x:c>
    </x:row>
    <x:row r="16" ht="60" customHeight="1">
      <x:c r="A16" s="49" t="n">
        <x:v>6</x:v>
      </x:c>
      <x:c r="B16" s="50" t="str">
        <x:v>Dreamtapir</x:v>
      </x:c>
      <x:c r="C16" s="50" t="str">
        <x:v>Dream predator</x:v>
      </x:c>
      <x:c r="D16" s="50" t="str">
        <x:v>Back</x:v>
      </x:c>
      <x:c r="E16" s="50" t="str">
        <x:v>INT/MATK &gt; HIT not required for magic; HP next</x:v>
      </x:c>
      <x:c r="F16" s="50" t="str">
        <x:v>Drowsy Bubble</x:v>
      </x:c>
      <x:c r="G16" s="50" t="str">
        <x:v>Focused Attack</x:v>
      </x:c>
      <x:c r="H16" s="50" t="str">
        <x:v>Nightmare Feast</x:v>
      </x:c>
      <x:c r="I16" s="50" t="str">
        <x:v>Pressure an active-skill-heavy frontliner. Drowsy sets up both the finishing cast and a small team heal when the enemy acts.</x:v>
      </x:c>
    </x:row>
    <x:row r="17" ht="60" customHeight="1">
      <x:c r="A17" s="49" t="n">
        <x:v>6</x:v>
      </x:c>
      <x:c r="B17" s="50" t="str">
        <x:v>Dreamtapir</x:v>
      </x:c>
      <x:c r="C17" s="50" t="str">
        <x:v>Pillow guardian</x:v>
      </x:c>
      <x:c r="D17" s="50" t="str">
        <x:v>Middle/back</x:v>
      </x:c>
      <x:c r="E17" s="50" t="str">
        <x:v>INT/MATK &gt; HP/MDEF</x:v>
      </x:c>
      <x:c r="F17" s="50" t="str">
        <x:v>Drowsy Bubble</x:v>
      </x:c>
      <x:c r="G17" s="50" t="str">
        <x:v>Pillow Pocket</x:v>
      </x:c>
      <x:c r="H17" s="50" t="str">
        <x:v>Greater Heal</x:v>
      </x:c>
      <x:c r="I17" s="50" t="str">
        <x:v>Back a fragile mage or hunter with repeated shields and weakened enemy casts. Replace the big damage button with direct emergency healing.</x:v>
      </x:c>
    </x:row>
    <x:row r="18" ht="60" customHeight="1">
      <x:c r="A18" s="49" t="n">
        <x:v>7</x:v>
      </x:c>
      <x:c r="B18" s="50" t="str">
        <x:v>Inkmarten</x:v>
      </x:c>
      <x:c r="C18" s="50" t="str">
        <x:v>First-page assassin</x:v>
      </x:c>
      <x:c r="D18" s="50" t="str">
        <x:v>Front with another protector</x:v>
      </x:c>
      <x:c r="E18" s="50" t="str">
        <x:v>DEX/ATK &gt; CRIT/LUK &gt; HIT</x:v>
      </x:c>
      <x:c r="F18" s="50" t="str">
        <x:v>Brushbite</x:v>
      </x:c>
      <x:c r="G18" s="50" t="str">
        <x:v>Black Margin</x:v>
      </x:c>
      <x:c r="H18" s="50" t="str">
        <x:v>Final Stroke</x:v>
      </x:c>
      <x:c r="I18" s="50" t="str">
        <x:v>Focus the enemy front monster alongside an ally. The opening bonus helps break it, and the genuine death-based switch supplies another burst.</x:v>
      </x:c>
    </x:row>
    <x:row r="19" ht="60" customHeight="1">
      <x:c r="A19" s="49" t="n">
        <x:v>7</x:v>
      </x:c>
      <x:c r="B19" s="50" t="str">
        <x:v>Inkmarten</x:v>
      </x:c>
      <x:c r="C19" s="50" t="str">
        <x:v>Ink duelist</x:v>
      </x:c>
      <x:c r="D19" s="50" t="str">
        <x:v>Front</x:v>
      </x:c>
      <x:c r="E19" s="50" t="str">
        <x:v>DEX/ATK &gt; AGI/FLEE &gt; HP</x:v>
      </x:c>
      <x:c r="F19" s="50" t="str">
        <x:v>Brushbite</x:v>
      </x:c>
      <x:c r="G19" s="50" t="str">
        <x:v>Black Margin</x:v>
      </x:c>
      <x:c r="H19" s="50" t="str">
        <x:v>Fortify</x:v>
      </x:c>
      <x:c r="I19" s="50" t="str">
        <x:v>Use against basic-attack physical enemies, preferably with a druid. Trade the finisher for survival to get multiple ink-mark windows.</x:v>
      </x:c>
    </x:row>
    <x:row r="20" ht="60" customHeight="1">
      <x:c r="A20" s="49" t="n">
        <x:v>8</x:v>
      </x:c>
      <x:c r="B20" s="50" t="str">
        <x:v>Brimble</x:v>
      </x:c>
      <x:c r="C20" s="50" t="str">
        <x:v>Hot-headed retaliator</x:v>
      </x:c>
      <x:c r="D20" s="50" t="str">
        <x:v>Front</x:v>
      </x:c>
      <x:c r="E20" s="50" t="str">
        <x:v>STR/ATK &gt; HP &gt; HIT</x:v>
      </x:c>
      <x:c r="F20" s="50" t="str">
        <x:v>Spade Flick</x:v>
      </x:c>
      <x:c r="G20" s="50" t="str">
        <x:v>Focused Attack</x:v>
      </x:c>
      <x:c r="H20" s="50" t="str">
        <x:v>Imp's Reprisal</x:v>
      </x:c>
      <x:c r="I20" s="50" t="str">
        <x:v>Play as the damage half of a double-front formation with a knight. The brief threshold bonus supports a decisive early exchange.</x:v>
      </x:c>
    </x:row>
    <x:row r="21" ht="60" customHeight="1">
      <x:c r="A21" s="49" t="n">
        <x:v>8</x:v>
      </x:c>
      <x:c r="B21" s="50" t="str">
        <x:v>Brimble</x:v>
      </x:c>
      <x:c r="C21" s="50" t="str">
        <x:v>Blanketed bruiser</x:v>
      </x:c>
      <x:c r="D21" s="50" t="str">
        <x:v>Front</x:v>
      </x:c>
      <x:c r="E21" s="50" t="str">
        <x:v>HP/VIT &gt; STR/ATK &gt; DEF</x:v>
      </x:c>
      <x:c r="F21" s="50" t="str">
        <x:v>Spade Flick</x:v>
      </x:c>
      <x:c r="G21" s="50" t="str">
        <x:v>Blanket Curl</x:v>
      </x:c>
      <x:c r="H21" s="50" t="str">
        <x:v>Fortify</x:v>
      </x:c>
      <x:c r="I21" s="50" t="str">
        <x:v>Pair with a druid to recover above 70% and regain the defensive benefit. The offensive threshold bonus does not retrigger through repeated healing.</x:v>
      </x:c>
    </x:row>
    <x:row r="22" ht="60" customHeight="1">
      <x:c r="A22" s="49" t="n">
        <x:v>9</x:v>
      </x:c>
      <x:c r="B22" s="50" t="str">
        <x:v>Cinderknuckle</x:v>
      </x:c>
      <x:c r="C22" s="50" t="str">
        <x:v>Spell-fist striker</x:v>
      </x:c>
      <x:c r="D22" s="50" t="str">
        <x:v>Front with protection</x:v>
      </x:c>
      <x:c r="E22" s="50" t="str">
        <x:v>INT/MATK &gt; AGI &gt; HP</x:v>
      </x:c>
      <x:c r="F22" s="50" t="str">
        <x:v>Coal Jab</x:v>
      </x:c>
      <x:c r="G22" s="50" t="str">
        <x:v>Battle Rhythm</x:v>
      </x:c>
      <x:c r="H22" s="50" t="str">
        <x:v>Furnace Uppercut</x:v>
      </x:c>
      <x:c r="I22" s="50" t="str">
        <x:v>Alternate rapid magical basics with casts to spend Heat efficiently. This is an INT fighter, not a disguised STR hybrid.</x:v>
      </x:c>
    </x:row>
    <x:row r="23" ht="60" customHeight="1">
      <x:c r="A23" s="49" t="n">
        <x:v>9</x:v>
      </x:c>
      <x:c r="B23" s="50" t="str">
        <x:v>Cinderknuckle</x:v>
      </x:c>
      <x:c r="C23" s="50" t="str">
        <x:v>Kiln pugilist</x:v>
      </x:c>
      <x:c r="D23" s="50" t="str">
        <x:v>Front</x:v>
      </x:c>
      <x:c r="E23" s="50" t="str">
        <x:v>HP/VIT &gt; INT/MATK &gt; MDEF/DEF</x:v>
      </x:c>
      <x:c r="F23" s="50" t="str">
        <x:v>Coal Jab</x:v>
      </x:c>
      <x:c r="G23" s="50" t="str">
        <x:v>Kiln Stance</x:v>
      </x:c>
      <x:c r="H23" s="50" t="str">
        <x:v>Fortify</x:v>
      </x:c>
      <x:c r="I23" s="50" t="str">
        <x:v>Build enough MATK for useful shields, then prioritize durability beside a damage-focused trainer. Heat still contributes threat while tanking.</x:v>
      </x:c>
    </x:row>
    <x:row r="24" ht="60" customHeight="1">
      <x:c r="A24" s="49" t="n">
        <x:v>10</x:v>
      </x:c>
      <x:c r="B24" s="50" t="str">
        <x:v>Fluffyak</x:v>
      </x:c>
      <x:c r="C24" s="50" t="str">
        <x:v>Woolen barricade</x:v>
      </x:c>
      <x:c r="D24" s="50" t="str">
        <x:v>Front</x:v>
      </x:c>
      <x:c r="E24" s="50" t="str">
        <x:v>HP/VIT &gt; DEF &gt; STR/ATK</x:v>
      </x:c>
      <x:c r="F24" s="50" t="str">
        <x:v>Woolhorn</x:v>
      </x:c>
      <x:c r="G24" s="50" t="str">
        <x:v>Fleece Wrap</x:v>
      </x:c>
      <x:c r="H24" s="50" t="str">
        <x:v>Fortify</x:v>
      </x:c>
      <x:c r="I24" s="50" t="str">
        <x:v>Protect a ranged trainer against basic-attack teams. Ignore MATK and use the HP-based wrap; the third slot is another defensive layer.</x:v>
      </x:c>
    </x:row>
    <x:row r="25" ht="60" customHeight="1">
      <x:c r="A25" s="49" t="n">
        <x:v>10</x:v>
      </x:c>
      <x:c r="B25" s="50" t="str">
        <x:v>Fluffyak</x:v>
      </x:c>
      <x:c r="C25" s="50" t="str">
        <x:v>Herd caretaker</x:v>
      </x:c>
      <x:c r="D25" s="50" t="str">
        <x:v>Front/middle</x:v>
      </x:c>
      <x:c r="E25" s="50" t="str">
        <x:v>HP/VIT &gt; INT/MATK &gt; MDEF</x:v>
      </x:c>
      <x:c r="F25" s="50" t="str">
        <x:v>Brace</x:v>
      </x:c>
      <x:c r="G25" s="50" t="str">
        <x:v>Fleece Wrap</x:v>
      </x:c>
      <x:c r="H25" s="50" t="str">
        <x:v>Warmth of the Herd</x:v>
      </x:c>
      <x:c r="I25" s="50" t="str">
        <x:v>Accept weak physical damage for a tank/healer role. Use a high-damage second monster so the trainer is not forced to supply all offense.</x:v>
      </x:c>
    </x:row>
    <x:row r="26" ht="60" customHeight="1">
      <x:c r="A26" s="49" t="n">
        <x:v>11</x:v>
      </x:c>
      <x:c r="B26" s="50" t="str">
        <x:v>Shardclaw</x:v>
      </x:c>
      <x:c r="C26" s="50" t="str">
        <x:v>Shieldbreaker</x:v>
      </x:c>
      <x:c r="D26" s="50" t="str">
        <x:v>Front with cover</x:v>
      </x:c>
      <x:c r="E26" s="50" t="str">
        <x:v>DEX/ATK &gt; CRIT/LUK &gt; HIT</x:v>
      </x:c>
      <x:c r="F26" s="50" t="str">
        <x:v>Crystal Rake</x:v>
      </x:c>
      <x:c r="G26" s="50" t="str">
        <x:v>Splinter Wedge</x:v>
      </x:c>
      <x:c r="H26" s="50" t="str">
        <x:v>Fracture Pounce</x:v>
      </x:c>
      <x:c r="I26" s="50" t="str">
        <x:v>Use against shield-heavy tanks. Wedge weakens their replacement shield after the first is broken, maintaining pressure.</x:v>
      </x:c>
    </x:row>
    <x:row r="27" ht="60" customHeight="1">
      <x:c r="A27" s="49" t="n">
        <x:v>11</x:v>
      </x:c>
      <x:c r="B27" s="50" t="str">
        <x:v>Shardclaw</x:v>
      </x:c>
      <x:c r="C27" s="50" t="str">
        <x:v>Persistent glass claw</x:v>
      </x:c>
      <x:c r="D27" s="50" t="str">
        <x:v>Front</x:v>
      </x:c>
      <x:c r="E27" s="50" t="str">
        <x:v>DEX/ATK &gt; HP &gt; AGI</x:v>
      </x:c>
      <x:c r="F27" s="50" t="str">
        <x:v>Crystal Rake</x:v>
      </x:c>
      <x:c r="G27" s="50" t="str">
        <x:v>Splinter Wedge</x:v>
      </x:c>
      <x:c r="H27" s="50" t="str">
        <x:v>Fortify</x:v>
      </x:c>
      <x:c r="I27" s="50" t="str">
        <x:v>Retain the shield denial but exchange the large burst for survival. A druid trainer helps it outlast repeated shielding cycles.</x:v>
      </x:c>
    </x:row>
    <x:row r="28" ht="60" customHeight="1">
      <x:c r="A28" s="49" t="n">
        <x:v>12</x:v>
      </x:c>
      <x:c r="B28" s="50" t="str">
        <x:v>Hornvault</x:v>
      </x:c>
      <x:c r="C28" s="50" t="str">
        <x:v>Bone spellblade</x:v>
      </x:c>
      <x:c r="D28" s="50" t="str">
        <x:v>Front</x:v>
      </x:c>
      <x:c r="E28" s="50" t="str">
        <x:v>INT/MATK &gt; HP &gt; AGI</x:v>
      </x:c>
      <x:c r="F28" s="50" t="str">
        <x:v>Horn Sigil</x:v>
      </x:c>
      <x:c r="G28" s="50" t="str">
        <x:v>Bone Orbit</x:v>
      </x:c>
      <x:c r="H28" s="50" t="str">
        <x:v>Vaultbreaker</x:v>
      </x:c>
      <x:c r="I28" s="50" t="str">
        <x:v>Restore ribs before the heavy cast through the autocast eligibility rule. Trade repeated blows with an enemy frontliner.</x:v>
      </x:c>
    </x:row>
    <x:row r="29" ht="60" customHeight="1">
      <x:c r="A29" s="49" t="n">
        <x:v>12</x:v>
      </x:c>
      <x:c r="B29" s="50" t="str">
        <x:v>Hornvault</x:v>
      </x:c>
      <x:c r="C29" s="50" t="str">
        <x:v>Ablative escort</x:v>
      </x:c>
      <x:c r="D29" s="50" t="str">
        <x:v>Front</x:v>
      </x:c>
      <x:c r="E29" s="50" t="str">
        <x:v>HP/VIT &gt; INT/MATK &gt; DEF/MDEF</x:v>
      </x:c>
      <x:c r="F29" s="50" t="str">
        <x:v>Brace</x:v>
      </x:c>
      <x:c r="G29" s="50" t="str">
        <x:v>Bone Orbit</x:v>
      </x:c>
      <x:c r="H29" s="50" t="str">
        <x:v>Fortify</x:v>
      </x:c>
      <x:c r="I29" s="50" t="str">
        <x:v>Use ribs to absorb bursts for a fragile trainer. This build sacrifices direct signatures for repeated mitigation and magical retaliation.</x:v>
      </x:c>
    </x:row>
    <x:row r="30" ht="72.5" customHeight="1">
      <x:c r="A30" s="49" t="n">
        <x:v>13</x:v>
      </x:c>
      <x:c r="B30" s="50" t="str">
        <x:v>Lilydeer</x:v>
      </x:c>
      <x:c r="C30" s="50" t="str">
        <x:v>Battle gardener</x:v>
      </x:c>
      <x:c r="D30" s="50" t="str">
        <x:v>Back</x:v>
      </x:c>
      <x:c r="E30" s="50" t="str">
        <x:v>INT/MATK &gt; HP</x:v>
      </x:c>
      <x:c r="F30" s="50" t="str">
        <x:v>Petal Lance</x:v>
      </x:c>
      <x:c r="G30" s="50" t="str">
        <x:v>Shelf of Blossoms</x:v>
      </x:c>
      <x:c r="H30" s="50" t="str">
        <x:v>Blooming Antlers</x:v>
      </x:c>
      <x:c r="I30" s="50" t="str">
        <x:v>Choose with a knight trainer and a physical attacker. Offensive casts bank enough healing to support the frontline without giving up the damage role.</x:v>
      </x:c>
    </x:row>
    <x:row r="31" ht="72.5" customHeight="1">
      <x:c r="A31" s="49" t="n">
        <x:v>13</x:v>
      </x:c>
      <x:c r="B31" s="50" t="str">
        <x:v>Lilydeer</x:v>
      </x:c>
      <x:c r="C31" s="50" t="str">
        <x:v>Careful cultivator</x:v>
      </x:c>
      <x:c r="D31" s="50" t="str">
        <x:v>Middle/back</x:v>
      </x:c>
      <x:c r="E31" s="50" t="str">
        <x:v>INT/MATK &gt; VIT/MDEF</x:v>
      </x:c>
      <x:c r="F31" s="50" t="str">
        <x:v>Petal Lance</x:v>
      </x:c>
      <x:c r="G31" s="50" t="str">
        <x:v>Shelf of Blossoms</x:v>
      </x:c>
      <x:c r="H31" s="50" t="str">
        <x:v>Greater Heal</x:v>
      </x:c>
      <x:c r="I31" s="50" t="str">
        <x:v>Keep the fast damage spell for Bud generation but replace the large nuke with another heal. Useful when one ally, rather than the entire team, takes most damage.</x:v>
      </x:c>
    </x:row>
    <x:row r="32" ht="72.5" customHeight="1">
      <x:c r="A32" s="49" t="n">
        <x:v>14</x:v>
      </x:c>
      <x:c r="B32" s="50" t="str">
        <x:v>Pillowisp</x:v>
      </x:c>
      <x:c r="C32" s="50" t="str">
        <x:v>Single-front cushion</x:v>
      </x:c>
      <x:c r="D32" s="50" t="str">
        <x:v>Back</x:v>
      </x:c>
      <x:c r="E32" s="50" t="str">
        <x:v>INT/MATK &gt; HP</x:v>
      </x:c>
      <x:c r="F32" s="50" t="str">
        <x:v>Pillow Patch</x:v>
      </x:c>
      <x:c r="G32" s="50" t="str">
        <x:v>Basic Heal</x:v>
      </x:c>
      <x:c r="H32" s="50" t="str">
        <x:v>Dream Quilt</x:v>
      </x:c>
      <x:c r="I32" s="50" t="str">
        <x:v>Keep a knight or tank monster alive against discrete heavy impacts. Frequent heals refresh one-hit padding without creating permanent full-team reduction.</x:v>
      </x:c>
    </x:row>
    <x:row r="33" ht="72.5" customHeight="1">
      <x:c r="A33" s="49" t="n">
        <x:v>14</x:v>
      </x:c>
      <x:c r="B33" s="50" t="str">
        <x:v>Pillowisp</x:v>
      </x:c>
      <x:c r="C33" s="50" t="str">
        <x:v>Damage-prevention wisp</x:v>
      </x:c>
      <x:c r="D33" s="50" t="str">
        <x:v>Middle/back</x:v>
      </x:c>
      <x:c r="E33" s="50" t="str">
        <x:v>INT/MATK &gt; HP/MDEF</x:v>
      </x:c>
      <x:c r="F33" s="50" t="str">
        <x:v>Pillow Patch</x:v>
      </x:c>
      <x:c r="G33" s="50" t="str">
        <x:v>Drowsy Fold</x:v>
      </x:c>
      <x:c r="H33" s="50" t="str">
        <x:v>Rally</x:v>
      </x:c>
      <x:c r="I33" s="50" t="str">
        <x:v>Suppress a hard-hitting basic attacker and use the large slot to boost your damage carry. Best when reducing incoming damage matters more than healing several allies.</x:v>
      </x:c>
    </x:row>
    <x:row r="34" ht="72.5" customHeight="1">
      <x:c r="A34" s="49" t="n">
        <x:v>15</x:v>
      </x:c>
      <x:c r="B34" s="50" t="str">
        <x:v>Burrowlug</x:v>
      </x:c>
      <x:c r="C34" s="50" t="str">
        <x:v>Rooted wall</x:v>
      </x:c>
      <x:c r="D34" s="50" t="str">
        <x:v>Front</x:v>
      </x:c>
      <x:c r="E34" s="50" t="str">
        <x:v>HP/VIT &gt; DEF/MDEF</x:v>
      </x:c>
      <x:c r="F34" s="50" t="str">
        <x:v>Root-Mitten Thump</x:v>
      </x:c>
      <x:c r="G34" s="50" t="str">
        <x:v>Earth Pantry</x:v>
      </x:c>
      <x:c r="H34" s="50" t="str">
        <x:v>Fortify</x:v>
      </x:c>
      <x:c r="I34" s="50" t="str">
        <x:v>Choose against a durable enemy frontliner where maintaining one target is natural. Self-sustain frees a druid to heal the trainer or other monster.</x:v>
      </x:c>
    </x:row>
    <x:row r="35" ht="72.5" customHeight="1">
      <x:c r="A35" s="49" t="n">
        <x:v>15</x:v>
      </x:c>
      <x:c r="B35" s="50" t="str">
        <x:v>Burrowlug</x:v>
      </x:c>
      <x:c r="C35" s="50" t="str">
        <x:v>Trainer's root cellar</x:v>
      </x:c>
      <x:c r="D35" s="50" t="str">
        <x:v>Front</x:v>
      </x:c>
      <x:c r="E35" s="50" t="str">
        <x:v>HP/VIT &gt; STR/ATK &gt; HIT</x:v>
      </x:c>
      <x:c r="F35" s="50" t="str">
        <x:v>Root-Mitten Thump</x:v>
      </x:c>
      <x:c r="G35" s="50" t="str">
        <x:v>Earth Pantry</x:v>
      </x:c>
      <x:c r="H35" s="50" t="str">
        <x:v>Tuber Rampart</x:v>
      </x:c>
      <x:c r="I35" s="50" t="str">
        <x:v>Use moderate STR for pressure and the HP-based shield to protect a melee knight. A damage-oriented second monster prevents the formation from stalling.</x:v>
      </x:c>
    </x:row>
    <x:row r="36" ht="60" customHeight="1">
      <x:c r="A36" s="49" t="n">
        <x:v>16</x:v>
      </x:c>
      <x:c r="B36" s="50" t="str">
        <x:v>Cairnox</x:v>
      </x:c>
      <x:c r="C36" s="50" t="str">
        <x:v>Bone-arm brawler</x:v>
      </x:c>
      <x:c r="D36" s="50" t="str">
        <x:v>Front</x:v>
      </x:c>
      <x:c r="E36" s="50" t="str">
        <x:v>STR/ATK &gt; HP &gt; HIT</x:v>
      </x:c>
      <x:c r="F36" s="50" t="str">
        <x:v>Great-Arm Clout</x:v>
      </x:c>
      <x:c r="G36" s="50" t="str">
        <x:v>Focused Attack</x:v>
      </x:c>
      <x:c r="H36" s="50" t="str">
        <x:v>Cairn Hammer</x:v>
      </x:c>
      <x:c r="I36" s="50" t="str">
        <x:v>Convert incoming frontline damage into empowered clouts. Rely on another healer rather than spending fragments on repair.</x:v>
      </x:c>
    </x:row>
    <x:row r="37" ht="60" customHeight="1">
      <x:c r="A37" s="49" t="n">
        <x:v>16</x:v>
      </x:c>
      <x:c r="B37" s="50" t="str">
        <x:v>Cairnox</x:v>
      </x:c>
      <x:c r="C37" s="50" t="str">
        <x:v>Self-repairing cairn</x:v>
      </x:c>
      <x:c r="D37" s="50" t="str">
        <x:v>Front</x:v>
      </x:c>
      <x:c r="E37" s="50" t="str">
        <x:v>HP/VIT &gt; DEF &gt; STR/ATK</x:v>
      </x:c>
      <x:c r="F37" s="50" t="str">
        <x:v>Brace</x:v>
      </x:c>
      <x:c r="G37" s="50" t="str">
        <x:v>Rattle Refit</x:v>
      </x:c>
      <x:c r="H37" s="50" t="str">
        <x:v>Cairn Hammer</x:v>
      </x:c>
      <x:c r="I37" s="50" t="str">
        <x:v>Removing Great-Arm Clout reserves fragments for healing. Best beside a damage-focused trainer who needs a durable second body.</x:v>
      </x:c>
    </x:row>
    <x:row r="38" ht="60" customHeight="1">
      <x:c r="A38" s="49" t="n">
        <x:v>17</x:v>
      </x:c>
      <x:c r="B38" s="50" t="str">
        <x:v>Pebblepup</x:v>
      </x:c>
      <x:c r="C38" s="50" t="str">
        <x:v>Trainer's attack dog</x:v>
      </x:c>
      <x:c r="D38" s="50" t="str">
        <x:v>Front</x:v>
      </x:c>
      <x:c r="E38" s="50" t="str">
        <x:v>STR/ATK &gt; AGI &gt; HP</x:v>
      </x:c>
      <x:c r="F38" s="50" t="str">
        <x:v>Paddle-Paw</x:v>
      </x:c>
      <x:c r="G38" s="50" t="str">
        <x:v>Battle Rhythm</x:v>
      </x:c>
      <x:c r="H38" s="50" t="str">
        <x:v>Stone Fetch</x:v>
      </x:c>
      <x:c r="I38" s="50" t="str">
        <x:v>Pair with a knight or hunter that naturally attacks the same front target. Focus fire activates both accuracy and durability.</x:v>
      </x:c>
    </x:row>
    <x:row r="39" ht="60" customHeight="1">
      <x:c r="A39" s="49" t="n">
        <x:v>17</x:v>
      </x:c>
      <x:c r="B39" s="50" t="str">
        <x:v>Pebblepup</x:v>
      </x:c>
      <x:c r="C39" s="50" t="str">
        <x:v>Loyal co-front</x:v>
      </x:c>
      <x:c r="D39" s="50" t="str">
        <x:v>Front</x:v>
      </x:c>
      <x:c r="E39" s="50" t="str">
        <x:v>HP/VIT &gt; STR/ATK &gt; DEF</x:v>
      </x:c>
      <x:c r="F39" s="50" t="str">
        <x:v>Paddle-Paw</x:v>
      </x:c>
      <x:c r="G39" s="50" t="str">
        <x:v>Loyal Bark</x:v>
      </x:c>
      <x:c r="H39" s="50" t="str">
        <x:v>Fortify</x:v>
      </x:c>
      <x:c r="I39" s="50" t="str">
        <x:v>Stand beside a knight and keep the bark shield on the loss-condition unit. The second monster supplies ranged damage or healing.</x:v>
      </x:c>
    </x:row>
    <x:row r="40" ht="85" customHeight="1">
      <x:c r="A40" s="49" t="n">
        <x:v>18</x:v>
      </x:c>
      <x:c r="B40" s="50" t="str">
        <x:v>Pyreling</x:v>
      </x:c>
      <x:c r="C40" s="50" t="str">
        <x:v>Ember-window breaker</x:v>
      </x:c>
      <x:c r="D40" s="50" t="str">
        <x:v>Front with protection</x:v>
      </x:c>
      <x:c r="E40" s="50" t="str">
        <x:v>STR/ATK &gt; HIT &gt; CRIT/LUK</x:v>
      </x:c>
      <x:c r="F40" s="50" t="str">
        <x:v>Mane Lash</x:v>
      </x:c>
      <x:c r="G40" s="50" t="str">
        <x:v>Feral Stoke</x:v>
      </x:c>
      <x:c r="H40" s="50" t="str">
        <x:v>Pyre Fang</x:v>
      </x:c>
      <x:c r="I40" s="50" t="str">
        <x:v>Use Mane Lash to enable Pyre Fang; the one-time flare begins after the first meaningful kill or during a lone boss's latter half. The health-threshold branch needs no killing blow and cannot reset after enemy healing.</x:v>
      </x:c>
    </x:row>
    <x:row r="41" ht="97.5" customHeight="1">
      <x:c r="A41" s="49" t="n">
        <x:v>18</x:v>
      </x:c>
      <x:c r="B41" s="50" t="str">
        <x:v>Pyreling</x:v>
      </x:c>
      <x:c r="C41" s="50" t="str">
        <x:v>Tempered predator</x:v>
      </x:c>
      <x:c r="D41" s="50" t="str">
        <x:v>Front</x:v>
      </x:c>
      <x:c r="E41" s="50" t="str">
        <x:v>HP/VIT &gt; STR/ATK &gt; DEF</x:v>
      </x:c>
      <x:c r="F41" s="50" t="str">
        <x:v>Mane Lash</x:v>
      </x:c>
      <x:c r="G41" s="50" t="str">
        <x:v>Guard</x:v>
      </x:c>
      <x:c r="H41" s="50" t="str">
        <x:v>Pyre Fang</x:v>
      </x:c>
      <x:c r="I41" s="50" t="str">
        <x:v>Keep the burn/finisher pair and use Guard for a frontline knight. The one-time shield can come from a boss reaching half health, but it is not an emergency save and should never require deliberately endangering the trainer.</x:v>
      </x:c>
    </x:row>
    <x:row r="42" ht="60" customHeight="1">
      <x:c r="A42" s="49" t="n">
        <x:v>19</x:v>
      </x:c>
      <x:c r="B42" s="50" t="str">
        <x:v>Pluvault</x:v>
      </x:c>
      <x:c r="C42" s="50" t="str">
        <x:v>Frontline reservoir</x:v>
      </x:c>
      <x:c r="D42" s="50" t="str">
        <x:v>Front</x:v>
      </x:c>
      <x:c r="E42" s="50" t="str">
        <x:v>HP/VIT &gt; INT/MATK &gt; DEF/MDEF</x:v>
      </x:c>
      <x:c r="F42" s="50" t="str">
        <x:v>Gutter Jet</x:v>
      </x:c>
      <x:c r="G42" s="50" t="str">
        <x:v>Open the Cistern</x:v>
      </x:c>
      <x:c r="H42" s="50" t="str">
        <x:v>Heavy Lid</x:v>
      </x:c>
      <x:c r="I42" s="50" t="str">
        <x:v>Take manageable frontline damage and convert the capped reserve into a trainer heal. Shielding prevents burst without generating additional Water.</x:v>
      </x:c>
    </x:row>
    <x:row r="43" ht="60" customHeight="1">
      <x:c r="A43" s="49" t="n">
        <x:v>19</x:v>
      </x:c>
      <x:c r="B43" s="50" t="str">
        <x:v>Pluvault</x:v>
      </x:c>
      <x:c r="C43" s="50" t="str">
        <x:v>Backline rain medic</x:v>
      </x:c>
      <x:c r="D43" s="50" t="str">
        <x:v>Middle/back</x:v>
      </x:c>
      <x:c r="E43" s="50" t="str">
        <x:v>INT/MATK &gt; HP</x:v>
      </x:c>
      <x:c r="F43" s="50" t="str">
        <x:v>Gutter Jet</x:v>
      </x:c>
      <x:c r="G43" s="50" t="str">
        <x:v>Open the Cistern</x:v>
      </x:c>
      <x:c r="H43" s="50" t="str">
        <x:v>Greater Heal</x:v>
      </x:c>
      <x:c r="I43" s="50" t="str">
        <x:v>Generate Water through the fast jet instead of requiring incoming damage. Works behind a knight when you need sustained single-target healing.</x:v>
      </x:c>
    </x:row>
    <x:row r="44" ht="60" customHeight="1">
      <x:c r="A44" s="49" t="n">
        <x:v>20</x:v>
      </x:c>
      <x:c r="B44" s="50" t="str">
        <x:v>Rillblade</x:v>
      </x:c>
      <x:c r="C44" s="50" t="str">
        <x:v>Unbroken sequence</x:v>
      </x:c>
      <x:c r="D44" s="50" t="str">
        <x:v>Front with a protector</x:v>
      </x:c>
      <x:c r="E44" s="50" t="str">
        <x:v>DEX/ATK &gt; AGI &gt; HIT</x:v>
      </x:c>
      <x:c r="F44" s="50" t="str">
        <x:v>Fin Carve</x:v>
      </x:c>
      <x:c r="G44" s="50" t="str">
        <x:v>Silver Current</x:v>
      </x:c>
      <x:c r="H44" s="50" t="str">
        <x:v>Rill Sever</x:v>
      </x:c>
      <x:c r="I44" s="50" t="str">
        <x:v>Use attack speed and accuracy to build Precision reliably. The heavy cut pressures a self-healing frontliner once the sequence is established.</x:v>
      </x:c>
    </x:row>
    <x:row r="45" ht="60" customHeight="1">
      <x:c r="A45" s="49" t="n">
        <x:v>20</x:v>
      </x:c>
      <x:c r="B45" s="50" t="str">
        <x:v>Rillblade</x:v>
      </x:c>
      <x:c r="C45" s="50" t="str">
        <x:v>Evasive current</x:v>
      </x:c>
      <x:c r="D45" s="50" t="str">
        <x:v>Front</x:v>
      </x:c>
      <x:c r="E45" s="50" t="str">
        <x:v>DEX/ATK &gt; AGI/FLEE &gt; HP</x:v>
      </x:c>
      <x:c r="F45" s="50" t="str">
        <x:v>Fin Carve</x:v>
      </x:c>
      <x:c r="G45" s="50" t="str">
        <x:v>Silver Current</x:v>
      </x:c>
      <x:c r="H45" s="50" t="str">
        <x:v>Fortify</x:v>
      </x:c>
      <x:c r="I45" s="50" t="str">
        <x:v>Replace the finisher with a defensive cooldown against basic-attack teams. Precision still adds damage to the frequent fin carve.</x:v>
      </x:c>
    </x:row>
    <x:row r="46" ht="60" customHeight="1">
      <x:c r="A46" s="49" t="n">
        <x:v>21</x:v>
      </x:c>
      <x:c r="B46" s="50" t="str">
        <x:v>Seedskit</x:v>
      </x:c>
      <x:c r="C46" s="50" t="str">
        <x:v>Seed cannon</x:v>
      </x:c>
      <x:c r="D46" s="50" t="str">
        <x:v>Middle/back</x:v>
      </x:c>
      <x:c r="E46" s="50" t="str">
        <x:v>STR/ATK &gt; AGI &gt; HIT</x:v>
      </x:c>
      <x:c r="F46" s="50" t="str">
        <x:v>Seedshot</x:v>
      </x:c>
      <x:c r="G46" s="50" t="str">
        <x:v>Pod Refill</x:v>
      </x:c>
      <x:c r="H46" s="50" t="str">
        <x:v>Splitpod Salvo</x:v>
      </x:c>
      <x:c r="I46" s="50" t="str">
        <x:v>Use the opening reserve for immediate pressure. Refill automatically once empty, so it never requires kills or movement to start functioning.</x:v>
      </x:c>
    </x:row>
    <x:row r="47" ht="72.5" customHeight="1">
      <x:c r="A47" s="49" t="n">
        <x:v>21</x:v>
      </x:c>
      <x:c r="B47" s="50" t="str">
        <x:v>Seedskit</x:v>
      </x:c>
      <x:c r="C47" s="50" t="str">
        <x:v>Seedpod escort</x:v>
      </x:c>
      <x:c r="D47" s="50" t="str">
        <x:v>Middle</x:v>
      </x:c>
      <x:c r="E47" s="50" t="str">
        <x:v>STR/ATK &gt; HP &gt; HIT</x:v>
      </x:c>
      <x:c r="F47" s="50" t="str">
        <x:v>Seedshot</x:v>
      </x:c>
      <x:c r="G47" s="50" t="str">
        <x:v>Guard</x:v>
      </x:c>
      <x:c r="H47" s="50" t="str">
        <x:v>Fortify</x:v>
      </x:c>
      <x:c r="I47" s="50" t="str">
        <x:v>Let the fast signature sustain basic-attack ammunition while generic protection helps a frontline knight. Dropping Salvo reserves seeds for reliable basic damage.</x:v>
      </x:c>
    </x:row>
    <x:row r="48" ht="60" customHeight="1">
      <x:c r="A48" s="49" t="n">
        <x:v>22</x:v>
      </x:c>
      <x:c r="B48" s="50" t="str">
        <x:v>Rattlebit</x:v>
      </x:c>
      <x:c r="C48" s="50" t="str">
        <x:v>Repaired scrapper</x:v>
      </x:c>
      <x:c r="D48" s="50" t="str">
        <x:v>Front</x:v>
      </x:c>
      <x:c r="E48" s="50" t="str">
        <x:v>STR/ATK &gt; HP &gt; AGI</x:v>
      </x:c>
      <x:c r="F48" s="50" t="str">
        <x:v>Knucklebone</x:v>
      </x:c>
      <x:c r="G48" s="50" t="str">
        <x:v>Battle Rhythm</x:v>
      </x:c>
      <x:c r="H48" s="50" t="str">
        <x:v>Rattle Rally</x:v>
      </x:c>
      <x:c r="I48" s="50" t="str">
        <x:v>Pair with a druid or regular healer to prime the passive. Fast basic attacks spend the charge before the next useful heal arrives.</x:v>
      </x:c>
    </x:row>
    <x:row r="49" ht="60" customHeight="1">
      <x:c r="A49" s="49" t="n">
        <x:v>22</x:v>
      </x:c>
      <x:c r="B49" s="50" t="str">
        <x:v>Rattlebit</x:v>
      </x:c>
      <x:c r="C49" s="50" t="str">
        <x:v>Self-mending companion</x:v>
      </x:c>
      <x:c r="D49" s="50" t="str">
        <x:v>Front</x:v>
      </x:c>
      <x:c r="E49" s="50" t="str">
        <x:v>HP/VIT &gt; STR/ATK &gt; DEF</x:v>
      </x:c>
      <x:c r="F49" s="50" t="str">
        <x:v>Knucklebone</x:v>
      </x:c>
      <x:c r="G49" s="50" t="str">
        <x:v>Fold and Mend</x:v>
      </x:c>
      <x:c r="H49" s="50" t="str">
        <x:v>Fortify</x:v>
      </x:c>
      <x:c r="I49" s="50" t="str">
        <x:v>Use self-healing to activate the passive without another healer. Defensive investment makes it a durable partner for a ranged trainer.</x:v>
      </x:c>
    </x:row>
    <x:row r="50" ht="110" customHeight="1">
      <x:c r="A50" s="49" t="n">
        <x:v>23</x:v>
      </x:c>
      <x:c r="B50" s="50" t="str">
        <x:v>Squallcub</x:v>
      </x:c>
      <x:c r="C50" s="50" t="str">
        <x:v>Storm brawler</x:v>
      </x:c>
      <x:c r="D50" s="50" t="str">
        <x:v>Front</x:v>
      </x:c>
      <x:c r="E50" s="50" t="str">
        <x:v>STR/ATK &gt; HP &gt; HIT</x:v>
      </x:c>
      <x:c r="F50" s="50" t="str">
        <x:v>Squall Paw</x:v>
      </x:c>
      <x:c r="G50" s="50" t="str">
        <x:v>Stormcurl</x:v>
      </x:c>
      <x:c r="H50" s="50" t="str">
        <x:v>Thunderclap Paws</x:v>
      </x:c>
      <x:c r="I50" s="50" t="str">
        <x:v>Trade with a heavy-hitting frontline monster. Gust adds immediate retaliatory value without demanding that the cub survive many attacks. The signature now has bounded splash for nearby groups; it retains the original primary-target damage against one boss.</x:v>
      </x:c>
    </x:row>
    <x:row r="51" ht="60" customHeight="1">
      <x:c r="A51" s="49" t="n">
        <x:v>23</x:v>
      </x:c>
      <x:c r="B51" s="50" t="str">
        <x:v>Squallcub</x:v>
      </x:c>
      <x:c r="C51" s="50" t="str">
        <x:v>Knight's storm shield</x:v>
      </x:c>
      <x:c r="D51" s="50" t="str">
        <x:v>Front</x:v>
      </x:c>
      <x:c r="E51" s="50" t="str">
        <x:v>HP/VIT &gt; STR/ATK &gt; DEF/MDEF</x:v>
      </x:c>
      <x:c r="F51" s="50" t="str">
        <x:v>Squall Paw</x:v>
      </x:c>
      <x:c r="G51" s="50" t="str">
        <x:v>Stormcurl</x:v>
      </x:c>
      <x:c r="H51" s="50" t="str">
        <x:v>Fortify</x:v>
      </x:c>
      <x:c r="I51" s="50" t="str">
        <x:v>Use the shield to obtain Gust safely even when incoming hits are small. Pair with a damage-heavy trainer and a healer.</x:v>
      </x:c>
    </x:row>
    <x:row r="52" ht="97.5" customHeight="1">
      <x:c r="A52" s="49" t="n">
        <x:v>24</x:v>
      </x:c>
      <x:c r="B52" s="50" t="str">
        <x:v>Pinstitch</x:v>
      </x:c>
      <x:c r="C52" s="50" t="str">
        <x:v>Boss-seam puppeteer</x:v>
      </x:c>
      <x:c r="D52" s="50" t="str">
        <x:v>Back; Effigy remains on friendly ground</x:v>
      </x:c>
      <x:c r="E52" s="50" t="str">
        <x:v>DEX/ATK &gt; HP &gt; HIT</x:v>
      </x:c>
      <x:c r="F52" s="50" t="str">
        <x:v>Button Prick</x:v>
      </x:c>
      <x:c r="G52" s="50" t="str">
        <x:v>Hem Snare</x:v>
      </x:c>
      <x:c r="H52" s="50" t="str">
        <x:v>Stitched Effigy</x:v>
      </x:c>
      <x:c r="I52" s="50" t="str">
        <x:v>Keep all three core allies on the boss. The effigy adds bounded damage from their attacks and denies some healing while Hem Snare reduces basic pressure. HP protects the destructible object; neither allied summons nor enemy damage feeds the link.</x:v>
      </x:c>
    </x:row>
    <x:row r="53" ht="85" customHeight="1">
      <x:c r="A53" s="49" t="n">
        <x:v>24</x:v>
      </x:c>
      <x:c r="B53" s="50" t="str">
        <x:v>Pinstitch</x:v>
      </x:c>
      <x:c r="C53" s="50" t="str">
        <x:v>Wave tailor</x:v>
      </x:c>
      <x:c r="D53" s="50" t="str">
        <x:v>Middle/back</x:v>
      </x:c>
      <x:c r="E53" s="50" t="str">
        <x:v>DEX/ATK &gt; HIT &gt; CRIT/LUK</x:v>
      </x:c>
      <x:c r="F53" s="50" t="str">
        <x:v>Button Prick</x:v>
      </x:c>
      <x:c r="G53" s="50" t="str">
        <x:v>Focused Attack</x:v>
      </x:c>
      <x:c r="H53" s="50" t="str">
        <x:v>Pull the Seam</x:v>
      </x:c>
      <x:c r="I53" s="50" t="str">
        <x:v>Use immediate burst when enemies die too fast to justify setting up a link. The lower-cost mark and shared Thread procs help finish one enemy; each later target gets its own new Stitch. This deliberately omits the Effigy.</x:v>
      </x:c>
    </x:row>
    <x:row r="54" ht="60" customHeight="1">
      <x:c r="A54" s="49" t="n">
        <x:v>25</x:v>
      </x:c>
      <x:c r="B54" s="50" t="str">
        <x:v>Thornmaw</x:v>
      </x:c>
      <x:c r="C54" s="50" t="str">
        <x:v>Thorn barricade</x:v>
      </x:c>
      <x:c r="D54" s="50" t="str">
        <x:v>Front</x:v>
      </x:c>
      <x:c r="E54" s="50" t="str">
        <x:v>HP/VIT &gt; STR/ATK &gt; DEF</x:v>
      </x:c>
      <x:c r="F54" s="50" t="str">
        <x:v>Briar Bite</x:v>
      </x:c>
      <x:c r="G54" s="50" t="str">
        <x:v>Thorn Cinch</x:v>
      </x:c>
      <x:c r="H54" s="50" t="str">
        <x:v>Fortify</x:v>
      </x:c>
      <x:c r="I54" s="50" t="str">
        <x:v>Pull reachable basic attackers away from the trainer and chip them with capped retaliation. Some ATK is valuable because the thorn cap uses A.</x:v>
      </x:c>
    </x:row>
    <x:row r="55" ht="60" customHeight="1">
      <x:c r="A55" s="49" t="n">
        <x:v>25</x:v>
      </x:c>
      <x:c r="B55" s="50" t="str">
        <x:v>Thornmaw</x:v>
      </x:c>
      <x:c r="C55" s="50" t="str">
        <x:v>Healer's nightmare</x:v>
      </x:c>
      <x:c r="D55" s="50" t="str">
        <x:v>Front</x:v>
      </x:c>
      <x:c r="E55" s="50" t="str">
        <x:v>STR/ATK &gt; HP &gt; HIT</x:v>
      </x:c>
      <x:c r="F55" s="50" t="str">
        <x:v>Briar Bite</x:v>
      </x:c>
      <x:c r="G55" s="50" t="str">
        <x:v>Focused Attack</x:v>
      </x:c>
      <x:c r="H55" s="50" t="str">
        <x:v>Rootjaw Clamp</x:v>
      </x:c>
      <x:c r="I55" s="50" t="str">
        <x:v>Focus a self-healing tank. Healing reduction and a damaging self-heal support an offensive bruiser rather than a purely passive wall.</x:v>
      </x:c>
    </x:row>
    <x:row r="56" ht="72.5" customHeight="1">
      <x:c r="A56" s="49" t="n">
        <x:v>26</x:v>
      </x:c>
      <x:c r="B56" s="50" t="str">
        <x:v>Amberkite</x:v>
      </x:c>
      <x:c r="C56" s="50" t="str">
        <x:v>Forecast artillery</x:v>
      </x:c>
      <x:c r="D56" s="50" t="str">
        <x:v>Back</x:v>
      </x:c>
      <x:c r="E56" s="50" t="str">
        <x:v>INT/MATK &gt; HP</x:v>
      </x:c>
      <x:c r="F56" s="50" t="str">
        <x:v>Amber Dart</x:v>
      </x:c>
      <x:c r="G56" s="50" t="str">
        <x:v>Folded Forecast</x:v>
      </x:c>
      <x:c r="H56" s="50" t="str">
        <x:v>Unfurl the Sun</x:v>
      </x:c>
      <x:c r="I56" s="50" t="str">
        <x:v>Let a durable front unit hold targets in place. The passive reduces wasted projectiles when your team kills a monster during the short cast-to-impact delay.</x:v>
      </x:c>
    </x:row>
    <x:row r="57" ht="60" customHeight="1">
      <x:c r="A57" s="49" t="n">
        <x:v>26</x:v>
      </x:c>
      <x:c r="B57" s="50" t="str">
        <x:v>Amberkite</x:v>
      </x:c>
      <x:c r="C57" s="50" t="str">
        <x:v>Folded escort</x:v>
      </x:c>
      <x:c r="D57" s="50" t="str">
        <x:v>Middle/back</x:v>
      </x:c>
      <x:c r="E57" s="50" t="str">
        <x:v>INT/MATK &gt; HP/MDEF</x:v>
      </x:c>
      <x:c r="F57" s="50" t="str">
        <x:v>Amber Dart</x:v>
      </x:c>
      <x:c r="G57" s="50" t="str">
        <x:v>Basic Heal</x:v>
      </x:c>
      <x:c r="H57" s="50" t="str">
        <x:v>Unfurl the Sun</x:v>
      </x:c>
      <x:c r="I57" s="50" t="str">
        <x:v>Keep short and long delayed damage but spend the middle slot healing the trainer. This sacrifices the personal ward for team survival.</x:v>
      </x:c>
    </x:row>
    <x:row r="58" ht="72.5" customHeight="1">
      <x:c r="A58" s="49" t="n">
        <x:v>27</x:v>
      </x:c>
      <x:c r="B58" s="50" t="str">
        <x:v>Cragbeak</x:v>
      </x:c>
      <x:c r="C58" s="50" t="str">
        <x:v>Evasion hunter</x:v>
      </x:c>
      <x:c r="D58" s="50" t="str">
        <x:v>Front</x:v>
      </x:c>
      <x:c r="E58" s="50" t="str">
        <x:v>DEX/ATK &gt; HP &gt; CRIT/LUK</x:v>
      </x:c>
      <x:c r="F58" s="50" t="str">
        <x:v>Knuckle Peck</x:v>
      </x:c>
      <x:c r="G58" s="50" t="str">
        <x:v>Focused Attack</x:v>
      </x:c>
      <x:c r="H58" s="50" t="str">
        <x:v>Quarry Beak</x:v>
      </x:c>
      <x:c r="I58" s="50" t="str">
        <x:v>Use against an evasive enemy frontliner. Taking hits helps the accuracy check, and Quarry Beak makes that target easier for your physical trainer to hit.</x:v>
      </x:c>
    </x:row>
    <x:row r="59" ht="60" customHeight="1">
      <x:c r="A59" s="49" t="n">
        <x:v>27</x:v>
      </x:c>
      <x:c r="B59" s="50" t="str">
        <x:v>Cragbeak</x:v>
      </x:c>
      <x:c r="C59" s="50" t="str">
        <x:v>Plated duelist</x:v>
      </x:c>
      <x:c r="D59" s="50" t="str">
        <x:v>Front</x:v>
      </x:c>
      <x:c r="E59" s="50" t="str">
        <x:v>HP/VIT &gt; DEX/ATK &gt; DEF</x:v>
      </x:c>
      <x:c r="F59" s="50" t="str">
        <x:v>Knuckle Peck</x:v>
      </x:c>
      <x:c r="G59" s="50" t="str">
        <x:v>Stonewing Cross</x:v>
      </x:c>
      <x:c r="H59" s="50" t="str">
        <x:v>Fortify</x:v>
      </x:c>
      <x:c r="I59" s="50" t="str">
        <x:v>The bird trades damage for consistent contact and protection. A mage trainer covers opponents whose physical defense is too high.</x:v>
      </x:c>
    </x:row>
    <x:row r="60" ht="60" customHeight="1">
      <x:c r="A60" s="49" t="n">
        <x:v>28</x:v>
      </x:c>
      <x:c r="B60" s="50" t="str">
        <x:v>Gonglet</x:v>
      </x:c>
      <x:c r="C60" s="50" t="str">
        <x:v>Frontline bell</x:v>
      </x:c>
      <x:c r="D60" s="50" t="str">
        <x:v>Front</x:v>
      </x:c>
      <x:c r="E60" s="50" t="str">
        <x:v>HP/VIT &gt; INT/MATK &gt; DEF/MDEF</x:v>
      </x:c>
      <x:c r="F60" s="50" t="str">
        <x:v>Little Toll</x:v>
      </x:c>
      <x:c r="G60" s="50" t="str">
        <x:v>Sheltering Chime</x:v>
      </x:c>
      <x:c r="H60" s="50" t="str">
        <x:v>Grand Resonance</x:v>
      </x:c>
      <x:c r="I60" s="50" t="str">
        <x:v>Take frontline hits to charge the larger single-target ward. Suitable beside a knight who sometimes shares incoming damage.</x:v>
      </x:c>
    </x:row>
    <x:row r="61" ht="72.5" customHeight="1">
      <x:c r="A61" s="49" t="n">
        <x:v>28</x:v>
      </x:c>
      <x:c r="B61" s="50" t="str">
        <x:v>Gonglet</x:v>
      </x:c>
      <x:c r="C61" s="50" t="str">
        <x:v>Rear choir</x:v>
      </x:c>
      <x:c r="D61" s="50" t="str">
        <x:v>Back</x:v>
      </x:c>
      <x:c r="E61" s="50" t="str">
        <x:v>INT/MATK &gt; HP</x:v>
      </x:c>
      <x:c r="F61" s="50" t="str">
        <x:v>Little Toll</x:v>
      </x:c>
      <x:c r="G61" s="50" t="str">
        <x:v>Sheltering Chime</x:v>
      </x:c>
      <x:c r="H61" s="50" t="str">
        <x:v>Rally</x:v>
      </x:c>
      <x:c r="I61" s="50" t="str">
        <x:v>Generate Notes with Little Toll from safety, then protect and boost a physical carry. Trading Grand Resonance avoids overinvesting in team shields when only one ally is hurt.</x:v>
      </x:c>
    </x:row>
    <x:row r="62" ht="110" customHeight="1">
      <x:c r="A62" s="49" t="n">
        <x:v>29</x:v>
      </x:c>
      <x:c r="B62" s="50" t="str">
        <x:v>Glassphoenix</x:v>
      </x:c>
      <x:c r="C62" s="50" t="str">
        <x:v>Glass artillery</x:v>
      </x:c>
      <x:c r="D62" s="50" t="str">
        <x:v>Back</x:v>
      </x:c>
      <x:c r="E62" s="50" t="str">
        <x:v>INT/MATK &gt; HP</x:v>
      </x:c>
      <x:c r="F62" s="50" t="str">
        <x:v>Glassflame</x:v>
      </x:c>
      <x:c r="G62" s="50" t="str">
        <x:v>Focused Attack</x:v>
      </x:c>
      <x:c r="H62" s="50" t="str">
        <x:v>Shatterwing</x:v>
      </x:c>
      <x:c r="I62" s="50" t="str">
        <x:v>Use the personal second chance as insurance against incidental burst, not as a reason to expose the trainer. Keep a normal frontline. The signature now has bounded splash for nearby groups; it retains the original primary-target damage against one boss.</x:v>
      </x:c>
    </x:row>
    <x:row r="63" ht="72.5" customHeight="1">
      <x:c r="A63" s="49" t="n">
        <x:v>29</x:v>
      </x:c>
      <x:c r="B63" s="50" t="str">
        <x:v>Glassphoenix</x:v>
      </x:c>
      <x:c r="C63" s="50" t="str">
        <x:v>Tempered phoenix</x:v>
      </x:c>
      <x:c r="D63" s="50" t="str">
        <x:v>Middle</x:v>
      </x:c>
      <x:c r="E63" s="50" t="str">
        <x:v>INT/MATK &gt; HP/MDEF</x:v>
      </x:c>
      <x:c r="F63" s="50" t="str">
        <x:v>Glassflame</x:v>
      </x:c>
      <x:c r="G63" s="50" t="str">
        <x:v>Luminous Seams</x:v>
      </x:c>
      <x:c r="H63" s="50" t="str">
        <x:v>Greater Heal</x:v>
      </x:c>
      <x:c r="I63" s="50" t="str">
        <x:v>Use self-shielding after the break and spend the large slot supporting the team. A knight trainer takes advantage of its remaining healing even after the damage penalty.</x:v>
      </x:c>
    </x:row>
    <x:row r="64" ht="60" customHeight="1">
      <x:c r="A64" s="49" t="n">
        <x:v>30</x:v>
      </x:c>
      <x:c r="B64" s="50" t="str">
        <x:v>Veilheron</x:v>
      </x:c>
      <x:c r="C64" s="50" t="str">
        <x:v>Opening spear</x:v>
      </x:c>
      <x:c r="D64" s="50" t="str">
        <x:v>Back</x:v>
      </x:c>
      <x:c r="E64" s="50" t="str">
        <x:v>DEX/ATK &gt; HIT &gt; CRIT/LUK</x:v>
      </x:c>
      <x:c r="F64" s="50" t="str">
        <x:v>Needle Beak</x:v>
      </x:c>
      <x:c r="G64" s="50" t="str">
        <x:v>Focused Attack</x:v>
      </x:c>
      <x:c r="H64" s="50" t="str">
        <x:v>Part the Veil</x:v>
      </x:c>
      <x:c r="I64" s="50" t="str">
        <x:v>Burst a fresh frontline before your sustained-damage ally takes over. Initial-ready cooldowns let the 12s move contribute at battle start.</x:v>
      </x:c>
    </x:row>
    <x:row r="65" ht="72.5" customHeight="1">
      <x:c r="A65" s="49" t="n">
        <x:v>30</x:v>
      </x:c>
      <x:c r="B65" s="50" t="str">
        <x:v>Veilheron</x:v>
      </x:c>
      <x:c r="C65" s="50" t="str">
        <x:v>Veiled marksman</x:v>
      </x:c>
      <x:c r="D65" s="50" t="str">
        <x:v>Middle/back</x:v>
      </x:c>
      <x:c r="E65" s="50" t="str">
        <x:v>DEX/ATK &gt; AGI/FLEE &gt; HP</x:v>
      </x:c>
      <x:c r="F65" s="50" t="str">
        <x:v>Needle Beak</x:v>
      </x:c>
      <x:c r="G65" s="50" t="str">
        <x:v>Draped Wing</x:v>
      </x:c>
      <x:c r="H65" s="50" t="str">
        <x:v>Rally</x:v>
      </x:c>
      <x:c r="I65" s="50" t="str">
        <x:v>Trade the large opening burst for evasion and ally support. This is useful in physical matchups where the heron may be targeted after the first monster falls.</x:v>
      </x:c>
    </x:row>
    <x:row r="66" ht="60" customHeight="1">
      <x:c r="A66" s="49" t="n">
        <x:v>31</x:v>
      </x:c>
      <x:c r="B66" s="50" t="str">
        <x:v>Honeylark</x:v>
      </x:c>
      <x:c r="C66" s="50" t="str">
        <x:v>Hunter's songbird</x:v>
      </x:c>
      <x:c r="D66" s="50" t="str">
        <x:v>Back</x:v>
      </x:c>
      <x:c r="E66" s="50" t="str">
        <x:v>INT/MATK &gt; HP</x:v>
      </x:c>
      <x:c r="F66" s="50" t="str">
        <x:v>Nectar Note</x:v>
      </x:c>
      <x:c r="G66" s="50" t="str">
        <x:v>Golden Duet</x:v>
      </x:c>
      <x:c r="H66" s="50" t="str">
        <x:v>Rally</x:v>
      </x:c>
      <x:c r="I66" s="50" t="str">
        <x:v>Boost a hunter or basic-attack carry through the duet and Nectar, while the fast heal protects the most injured ally.</x:v>
      </x:c>
    </x:row>
    <x:row r="67" ht="60" customHeight="1">
      <x:c r="A67" s="49" t="n">
        <x:v>31</x:v>
      </x:c>
      <x:c r="B67" s="50" t="str">
        <x:v>Honeylark</x:v>
      </x:c>
      <x:c r="C67" s="50" t="str">
        <x:v>Herd song</x:v>
      </x:c>
      <x:c r="D67" s="50" t="str">
        <x:v>Middle/back</x:v>
      </x:c>
      <x:c r="E67" s="50" t="str">
        <x:v>INT/MATK &gt; VIT/MDEF</x:v>
      </x:c>
      <x:c r="F67" s="50" t="str">
        <x:v>Nectar Note</x:v>
      </x:c>
      <x:c r="G67" s="50" t="str">
        <x:v>Basic Heal</x:v>
      </x:c>
      <x:c r="H67" s="50" t="str">
        <x:v>Honeychorus</x:v>
      </x:c>
      <x:c r="I67" s="50" t="str">
        <x:v>Drop attack-speed support for more healing when both frontline allies take damage. Team Nectar still creates a modest offensive payoff.</x:v>
      </x:c>
    </x:row>
    <x:row r="68" ht="60" customHeight="1">
      <x:c r="A68" s="49" t="n">
        <x:v>32</x:v>
      </x:c>
      <x:c r="B68" s="50" t="str">
        <x:v>Hushowl</x:v>
      </x:c>
      <x:c r="C68" s="50" t="str">
        <x:v>Caster-hunting owl</x:v>
      </x:c>
      <x:c r="D68" s="50" t="str">
        <x:v>Middle/back</x:v>
      </x:c>
      <x:c r="E68" s="50" t="str">
        <x:v>STR/ATK &gt; HIT &gt; AGI</x:v>
      </x:c>
      <x:c r="F68" s="50" t="str">
        <x:v>Hush Feather</x:v>
      </x:c>
      <x:c r="G68" s="50" t="str">
        <x:v>Shut the Mask</x:v>
      </x:c>
      <x:c r="H68" s="50" t="str">
        <x:v>Unspoken Verdict</x:v>
      </x:c>
      <x:c r="I68" s="50" t="str">
        <x:v>Pressure the exposed enemy caster or INT frontliner. It does not need to snipe a protected trainer to punish active-heavy teams.</x:v>
      </x:c>
    </x:row>
    <x:row r="69" ht="72.5" customHeight="1">
      <x:c r="A69" s="49" t="n">
        <x:v>32</x:v>
      </x:c>
      <x:c r="B69" s="50" t="str">
        <x:v>Hushowl</x:v>
      </x:c>
      <x:c r="C69" s="50" t="str">
        <x:v>Quiet bodyguard</x:v>
      </x:c>
      <x:c r="D69" s="50" t="str">
        <x:v>Middle</x:v>
      </x:c>
      <x:c r="E69" s="50" t="str">
        <x:v>HP/VIT &gt; STR/ATK &gt; HIT</x:v>
      </x:c>
      <x:c r="F69" s="50" t="str">
        <x:v>Hush Feather</x:v>
      </x:c>
      <x:c r="G69" s="50" t="str">
        <x:v>Shut the Mask</x:v>
      </x:c>
      <x:c r="H69" s="50" t="str">
        <x:v>Rally</x:v>
      </x:c>
      <x:c r="I69" s="50" t="str">
        <x:v>Reduce the front enemy's actives and use the large slot to empower your trainer. Defensive investment lets the owl continue disrupting after retargeting.</x:v>
      </x:c>
    </x:row>
    <x:row r="70" ht="60" customHeight="1">
      <x:c r="A70" s="49" t="n">
        <x:v>33</x:v>
      </x:c>
      <x:c r="B70" s="50" t="str">
        <x:v>Razorwing</x:v>
      </x:c>
      <x:c r="C70" s="50" t="str">
        <x:v>Bleeding critter</x:v>
      </x:c>
      <x:c r="D70" s="50" t="str">
        <x:v>Front with cover</x:v>
      </x:c>
      <x:c r="E70" s="50" t="str">
        <x:v>DEX/ATK &gt; CRIT/LUK &gt; HIT</x:v>
      </x:c>
      <x:c r="F70" s="50" t="str">
        <x:v>Crescent Slice</x:v>
      </x:c>
      <x:c r="G70" s="50" t="str">
        <x:v>Blade Poise</x:v>
      </x:c>
      <x:c r="H70" s="50" t="str">
        <x:v>Red Arc</x:v>
      </x:c>
      <x:c r="I70" s="50" t="str">
        <x:v>Use critical basics to enable both signatures. A tank ally keeps the insect alive while the healing penalty pressures the enemy front.</x:v>
      </x:c>
    </x:row>
    <x:row r="71" ht="72.5" customHeight="1">
      <x:c r="A71" s="49" t="n">
        <x:v>33</x:v>
      </x:c>
      <x:c r="B71" s="50" t="str">
        <x:v>Razorwing</x:v>
      </x:c>
      <x:c r="C71" s="50" t="str">
        <x:v>Sustained razor</x:v>
      </x:c>
      <x:c r="D71" s="50" t="str">
        <x:v>Front</x:v>
      </x:c>
      <x:c r="E71" s="50" t="str">
        <x:v>DEX/ATK &gt; HP &gt; CRIT/LUK</x:v>
      </x:c>
      <x:c r="F71" s="50" t="str">
        <x:v>Crescent Slice</x:v>
      </x:c>
      <x:c r="G71" s="50" t="str">
        <x:v>Blade Poise</x:v>
      </x:c>
      <x:c r="H71" s="50" t="str">
        <x:v>Fortify</x:v>
      </x:c>
      <x:c r="I71" s="50" t="str">
        <x:v>Keep crit uptime but trade the finisher for durability. Choose this against enemies that are dangerous enough to kill a pure damage build before its second cycle.</x:v>
      </x:c>
    </x:row>
    <x:row r="72" ht="97.5" customHeight="1">
      <x:c r="A72" s="49" t="n">
        <x:v>34</x:v>
      </x:c>
      <x:c r="B72" s="50" t="str">
        <x:v>Snipstream</x:v>
      </x:c>
      <x:c r="C72" s="50" t="str">
        <x:v>Sequential finisher</x:v>
      </x:c>
      <x:c r="D72" s="50" t="str">
        <x:v>Back</x:v>
      </x:c>
      <x:c r="E72" s="50" t="str">
        <x:v>DEX/ATK &gt; CRIT/LUK &gt; HIT</x:v>
      </x:c>
      <x:c r="F72" s="50" t="str">
        <x:v>Crosscut Gust</x:v>
      </x:c>
      <x:c r="G72" s="50" t="str">
        <x:v>Slipstream Edge</x:v>
      </x:c>
      <x:c r="H72" s="50" t="str">
        <x:v>Clean Cut</x:v>
      </x:c>
      <x:c r="I72" s="50" t="str">
        <x:v>Finish meaningful enemies with accurate burst and transfer a capped amount of otherwise wasted damage to the next legal target. Against a lone boss, landed basic sequences give a smaller reserve rather than a dead passive.</x:v>
      </x:c>
    </x:row>
    <x:row r="73" ht="85" customHeight="1">
      <x:c r="A73" s="49" t="n">
        <x:v>34</x:v>
      </x:c>
      <x:c r="B73" s="50" t="str">
        <x:v>Snipstream</x:v>
      </x:c>
      <x:c r="C73" s="50" t="str">
        <x:v>Reliable chevrons</x:v>
      </x:c>
      <x:c r="D73" s="50" t="str">
        <x:v>Middle/back</x:v>
      </x:c>
      <x:c r="E73" s="50" t="str">
        <x:v>DEX/ATK &gt; HP &gt; AGI</x:v>
      </x:c>
      <x:c r="F73" s="50" t="str">
        <x:v>Crosscut Gust</x:v>
      </x:c>
      <x:c r="G73" s="50" t="str">
        <x:v>Battle Rhythm</x:v>
      </x:c>
      <x:c r="H73" s="50" t="str">
        <x:v>Fortify</x:v>
      </x:c>
      <x:c r="I73" s="50" t="str">
        <x:v>Prioritize reliable personal basics and survivability to earn the smaller no-kill reserve repeatedly. Battle Rhythm helps this personal basic sequence; it does not produce extra targets or bypass the current one.</x:v>
      </x:c>
    </x:row>
    <x:row r="74" ht="72.5" customHeight="1">
      <x:c r="A74" s="49" t="n">
        <x:v>35</x:v>
      </x:c>
      <x:c r="B74" s="50" t="str">
        <x:v>Keepsake</x:v>
      </x:c>
      <x:c r="C74" s="50" t="str">
        <x:v>Trainer's keepsake</x:v>
      </x:c>
      <x:c r="D74" s="50" t="str">
        <x:v>Middle/back</x:v>
      </x:c>
      <x:c r="E74" s="50" t="str">
        <x:v>HP/VIT &gt; INT/MATK &gt; MDEF</x:v>
      </x:c>
      <x:c r="F74" s="50" t="str">
        <x:v>Pebble Promise</x:v>
      </x:c>
      <x:c r="G74" s="50" t="str">
        <x:v>Remembered Warmth</x:v>
      </x:c>
      <x:c r="H74" s="50" t="str">
        <x:v>Precious Circle</x:v>
      </x:c>
      <x:c r="I74" s="50" t="str">
        <x:v>Use for a frontline knight or a trainer repeatedly exposed to burst. HP strengthens the one-time emergency shield, while MATK supports normal casts.</x:v>
      </x:c>
    </x:row>
    <x:row r="75" ht="72.5" customHeight="1">
      <x:c r="A75" s="49" t="n">
        <x:v>35</x:v>
      </x:c>
      <x:c r="B75" s="50" t="str">
        <x:v>Keepsake</x:v>
      </x:c>
      <x:c r="C75" s="50" t="str">
        <x:v>Gentle healer</x:v>
      </x:c>
      <x:c r="D75" s="50" t="str">
        <x:v>Back</x:v>
      </x:c>
      <x:c r="E75" s="50" t="str">
        <x:v>INT/MATK &gt; HP</x:v>
      </x:c>
      <x:c r="F75" s="50" t="str">
        <x:v>Quick Strike</x:v>
      </x:c>
      <x:c r="G75" s="50" t="str">
        <x:v>Remembered Warmth</x:v>
      </x:c>
      <x:c r="H75" s="50" t="str">
        <x:v>Greater Heal</x:v>
      </x:c>
      <x:c r="I75" s="50" t="str">
        <x:v>Choose when the trainer is well protected but the front monster needs healing. Retain the emergency passive without making every active trainer-only.</x:v>
      </x:c>
    </x:row>
    <x:row r="76" ht="60" customHeight="1">
      <x:c r="A76" s="49" t="n">
        <x:v>36</x:v>
      </x:c>
      <x:c r="B76" s="50" t="str">
        <x:v>Hopgrit</x:v>
      </x:c>
      <x:c r="C76" s="50" t="str">
        <x:v>Stubborn kicker</x:v>
      </x:c>
      <x:c r="D76" s="50" t="str">
        <x:v>Front</x:v>
      </x:c>
      <x:c r="E76" s="50" t="str">
        <x:v>STR/ATK &gt; AGI &gt; HP</x:v>
      </x:c>
      <x:c r="F76" s="50" t="str">
        <x:v>Heel Hammer</x:v>
      </x:c>
      <x:c r="G76" s="50" t="str">
        <x:v>Battle Rhythm</x:v>
      </x:c>
      <x:c r="H76" s="50" t="str">
        <x:v>Quarry Kick</x:v>
      </x:c>
      <x:c r="I76" s="50" t="str">
        <x:v>Spend Grit quickly against an active-heavy front enemy. Faster basic cycles convert its reactive opportunities into steady damage.</x:v>
      </x:c>
    </x:row>
    <x:row r="77" ht="60" customHeight="1">
      <x:c r="A77" s="49" t="n">
        <x:v>36</x:v>
      </x:c>
      <x:c r="B77" s="50" t="str">
        <x:v>Hopgrit</x:v>
      </x:c>
      <x:c r="C77" s="50" t="str">
        <x:v>Planted partner</x:v>
      </x:c>
      <x:c r="D77" s="50" t="str">
        <x:v>Front</x:v>
      </x:c>
      <x:c r="E77" s="50" t="str">
        <x:v>HP/VIT &gt; STR/ATK &gt; DEF/MDEF</x:v>
      </x:c>
      <x:c r="F77" s="50" t="str">
        <x:v>Heel Hammer</x:v>
      </x:c>
      <x:c r="G77" s="50" t="str">
        <x:v>Plant the Feet</x:v>
      </x:c>
      <x:c r="H77" s="50" t="str">
        <x:v>Fortify</x:v>
      </x:c>
      <x:c r="I77" s="50" t="str">
        <x:v>Stand with a knight while the second monster supplies magic damage. The defensive active grants Grit even against a basic-focused opponent.</x:v>
      </x:c>
    </x:row>
    <x:row r="78" ht="110" customHeight="1">
      <x:c r="A78" s="49" t="n">
        <x:v>37</x:v>
      </x:c>
      <x:c r="B78" s="50" t="str">
        <x:v>Tempestool</x:v>
      </x:c>
      <x:c r="C78" s="50" t="str">
        <x:v>Storm battery</x:v>
      </x:c>
      <x:c r="D78" s="50" t="str">
        <x:v>Back; node covers the current frontline clash</x:v>
      </x:c>
      <x:c r="E78" s="50" t="str">
        <x:v>INT/MATK &gt; HP</x:v>
      </x:c>
      <x:c r="F78" s="50" t="str">
        <x:v>Sporebolt</x:v>
      </x:c>
      <x:c r="G78" s="50" t="str">
        <x:v>Focused Attack</x:v>
      </x:c>
      <x:c r="H78" s="50" t="str">
        <x:v>Thunderhead Totem</x:v>
      </x:c>
      <x:c r="I78" s="50" t="str">
        <x:v>A boss receives up to 2.25 M across three pulses plus eligible Spore damage. Against groups, splash reaches two additional enemies without multiplying the primary damage. The node is a sustained damage alternative to an instantaneous nuke, not a second full spellcaster.</x:v>
      </x:c>
    </x:row>
    <x:row r="79" ht="85" customHeight="1">
      <x:c r="A79" s="49" t="n">
        <x:v>37</x:v>
      </x:c>
      <x:c r="B79" s="50" t="str">
        <x:v>Tempestool</x:v>
      </x:c>
      <x:c r="C79" s="50" t="str">
        <x:v>Storm shelter</x:v>
      </x:c>
      <x:c r="D79" s="50" t="str">
        <x:v>Middle/back</x:v>
      </x:c>
      <x:c r="E79" s="50" t="str">
        <x:v>INT/MATK &gt; HP/MDEF</x:v>
      </x:c>
      <x:c r="F79" s="50" t="str">
        <x:v>Sporebolt</x:v>
      </x:c>
      <x:c r="G79" s="50" t="str">
        <x:v>Stormcap Canopy</x:v>
      </x:c>
      <x:c r="H79" s="50" t="str">
        <x:v>Greater Heal</x:v>
      </x:c>
      <x:c r="I79" s="50" t="str">
        <x:v>Omit the totem against heavy node destruction or when protecting the trainer matters more. Keep the fast Spore applicator and counter magical pressure with direct shields and recovery.</x:v>
      </x:c>
    </x:row>
    <x:row r="80" ht="60" customHeight="1">
      <x:c r="A80" s="49" t="n">
        <x:v>38</x:v>
      </x:c>
      <x:c r="B80" s="50" t="str">
        <x:v>Windlass</x:v>
      </x:c>
      <x:c r="C80" s="50" t="str">
        <x:v>Torque engine</x:v>
      </x:c>
      <x:c r="D80" s="50" t="str">
        <x:v>Front</x:v>
      </x:c>
      <x:c r="E80" s="50" t="str">
        <x:v>STR/ATK &gt; AGI &gt; HP</x:v>
      </x:c>
      <x:c r="F80" s="50" t="str">
        <x:v>Ring Hammer</x:v>
      </x:c>
      <x:c r="G80" s="50" t="str">
        <x:v>Battle Rhythm</x:v>
      </x:c>
      <x:c r="H80" s="50" t="str">
        <x:v>Full Torque</x:v>
      </x:c>
      <x:c r="I80" s="50" t="str">
        <x:v>Build the capped bonus within a few basic attacks against a durable front enemy. A healer sustains the short setup.</x:v>
      </x:c>
    </x:row>
    <x:row r="81" ht="72.5" customHeight="1">
      <x:c r="A81" s="49" t="n">
        <x:v>38</x:v>
      </x:c>
      <x:c r="B81" s="50" t="str">
        <x:v>Windlass</x:v>
      </x:c>
      <x:c r="C81" s="50" t="str">
        <x:v>Armored flywheel</x:v>
      </x:c>
      <x:c r="D81" s="50" t="str">
        <x:v>Front</x:v>
      </x:c>
      <x:c r="E81" s="50" t="str">
        <x:v>HP/VIT &gt; STR/ATK &gt; DEF</x:v>
      </x:c>
      <x:c r="F81" s="50" t="str">
        <x:v>Ring Hammer</x:v>
      </x:c>
      <x:c r="G81" s="50" t="str">
        <x:v>Lock the Axle</x:v>
      </x:c>
      <x:c r="H81" s="50" t="str">
        <x:v>Fortify</x:v>
      </x:c>
      <x:c r="I81" s="50" t="str">
        <x:v>Use a shield and moderate physical offense to remain useful beside a damage trainer. Lock the Axle keeps accumulated torque through the first target death.</x:v>
      </x:c>
    </x:row>
    <x:row r="82" ht="60" customHeight="1">
      <x:c r="A82" s="49" t="n">
        <x:v>39</x:v>
      </x:c>
      <x:c r="B82" s="50" t="str">
        <x:v>Tempestrook</x:v>
      </x:c>
      <x:c r="C82" s="50" t="str">
        <x:v>Storm artillery</x:v>
      </x:c>
      <x:c r="D82" s="50" t="str">
        <x:v>Back</x:v>
      </x:c>
      <x:c r="E82" s="50" t="str">
        <x:v>STR/ATK &gt; HIT &gt; CRIT/LUK</x:v>
      </x:c>
      <x:c r="F82" s="50" t="str">
        <x:v>Triple Pinion</x:v>
      </x:c>
      <x:c r="G82" s="50" t="str">
        <x:v>Focused Attack</x:v>
      </x:c>
      <x:c r="H82" s="50" t="str">
        <x:v>Sixfold Tempest</x:v>
      </x:c>
      <x:c r="I82" s="50" t="str">
        <x:v>Operate as a normal physical carry; damage thresholds are insurance against incidental attacks, not a reason to expose the trainer.</x:v>
      </x:c>
    </x:row>
    <x:row r="83" ht="72.5" customHeight="1">
      <x:c r="A83" s="49" t="n">
        <x:v>39</x:v>
      </x:c>
      <x:c r="B83" s="50" t="str">
        <x:v>Tempestrook</x:v>
      </x:c>
      <x:c r="C83" s="50" t="str">
        <x:v>Weathered rook</x:v>
      </x:c>
      <x:c r="D83" s="50" t="str">
        <x:v>Middle</x:v>
      </x:c>
      <x:c r="E83" s="50" t="str">
        <x:v>STR/ATK &gt; HP &gt; DEF/MDEF</x:v>
      </x:c>
      <x:c r="F83" s="50" t="str">
        <x:v>Triple Pinion</x:v>
      </x:c>
      <x:c r="G83" s="50" t="str">
        <x:v>Wing Mantle</x:v>
      </x:c>
      <x:c r="H83" s="50" t="str">
        <x:v>Fortify</x:v>
      </x:c>
      <x:c r="I83" s="50" t="str">
        <x:v>Build enough health to survive a threshold crossing and shield afterward. This trades burst for a stable, slightly stronger late first-target exchange.</x:v>
      </x:c>
    </x:row>
    <x:row r="84" ht="72.5" customHeight="1">
      <x:c r="A84" s="49" t="n">
        <x:v>40</x:v>
      </x:c>
      <x:c r="B84" s="50" t="str">
        <x:v>Velvimp</x:v>
      </x:c>
      <x:c r="C84" s="50" t="str">
        <x:v>Buff predator</x:v>
      </x:c>
      <x:c r="D84" s="50" t="str">
        <x:v>Back</x:v>
      </x:c>
      <x:c r="E84" s="50" t="str">
        <x:v>INT/MATK &gt; HP</x:v>
      </x:c>
      <x:c r="F84" s="50" t="str">
        <x:v>Velvet Prick</x:v>
      </x:c>
      <x:c r="G84" s="50" t="str">
        <x:v>Borrowed Splendor</x:v>
      </x:c>
      <x:c r="H84" s="50" t="str">
        <x:v>Curtain Call</x:v>
      </x:c>
      <x:c r="I84" s="50" t="str">
        <x:v>Counter a buffed frontline carry. The buff-strip removes only a simple stat effect and grants a fixed, capped reward rather than copying arbitrary skills.</x:v>
      </x:c>
    </x:row>
    <x:row r="85" ht="60" customHeight="1">
      <x:c r="A85" s="49" t="n">
        <x:v>40</x:v>
      </x:c>
      <x:c r="B85" s="50" t="str">
        <x:v>Velvimp</x:v>
      </x:c>
      <x:c r="C85" s="50" t="str">
        <x:v>Velvet accomplice</x:v>
      </x:c>
      <x:c r="D85" s="50" t="str">
        <x:v>Middle/back</x:v>
      </x:c>
      <x:c r="E85" s="50" t="str">
        <x:v>INT/MATK &gt; HP/MDEF</x:v>
      </x:c>
      <x:c r="F85" s="50" t="str">
        <x:v>Velvet Prick</x:v>
      </x:c>
      <x:c r="G85" s="50" t="str">
        <x:v>Borrowed Splendor</x:v>
      </x:c>
      <x:c r="H85" s="50" t="str">
        <x:v>Greater Heal</x:v>
      </x:c>
      <x:c r="I85" s="50" t="str">
        <x:v>Retain anti-buff utility but spend the large slot on trainer survival. Choose when another ally already provides the team's finishing damage.</x:v>
      </x:c>
    </x:row>
    <x:row r="86" ht="60" customHeight="1">
      <x:c r="A86" s="49" t="n">
        <x:v>41</x:v>
      </x:c>
      <x:c r="B86" s="50" t="str">
        <x:v>Brooktoad</x:v>
      </x:c>
      <x:c r="C86" s="50" t="str">
        <x:v>Deep-bowl medic</x:v>
      </x:c>
      <x:c r="D86" s="50" t="str">
        <x:v>Back</x:v>
      </x:c>
      <x:c r="E86" s="50" t="str">
        <x:v>INT/MATK &gt; HP</x:v>
      </x:c>
      <x:c r="F86" s="50" t="str">
        <x:v>Dew Croak</x:v>
      </x:c>
      <x:c r="G86" s="50" t="str">
        <x:v>Bowlful of Care</x:v>
      </x:c>
      <x:c r="H86" s="50" t="str">
        <x:v>Pond Chorus</x:v>
      </x:c>
      <x:c r="I86" s="50" t="str">
        <x:v>Use team healing to bank spare recovery, then spend it on the focused frontline. Particularly useful when two allies take unequal damage.</x:v>
      </x:c>
    </x:row>
    <x:row r="87" ht="60" customHeight="1">
      <x:c r="A87" s="49" t="n">
        <x:v>41</x:v>
      </x:c>
      <x:c r="B87" s="50" t="str">
        <x:v>Brooktoad</x:v>
      </x:c>
      <x:c r="C87" s="50" t="str">
        <x:v>Offensive pond partner</x:v>
      </x:c>
      <x:c r="D87" s="50" t="str">
        <x:v>Middle/back</x:v>
      </x:c>
      <x:c r="E87" s="50" t="str">
        <x:v>INT/MATK &gt; HP/MDEF</x:v>
      </x:c>
      <x:c r="F87" s="50" t="str">
        <x:v>Quick Strike</x:v>
      </x:c>
      <x:c r="G87" s="50" t="str">
        <x:v>Bowlful of Care</x:v>
      </x:c>
      <x:c r="H87" s="50" t="str">
        <x:v>Pond Chorus</x:v>
      </x:c>
      <x:c r="I87" s="50" t="str">
        <x:v>Replace the frequent heal with magical basic pressure when a druid trainer already supplies some healing. Retain burst and team recovery.</x:v>
      </x:c>
    </x:row>
    <x:row r="88" ht="60" customHeight="1">
      <x:c r="A88" s="49" t="n">
        <x:v>42</x:v>
      </x:c>
      <x:c r="B88" s="50" t="str">
        <x:v>Puffiend</x:v>
      </x:c>
      <x:c r="C88" s="50" t="str">
        <x:v>Cinder popgun</x:v>
      </x:c>
      <x:c r="D88" s="50" t="str">
        <x:v>Back</x:v>
      </x:c>
      <x:c r="E88" s="50" t="str">
        <x:v>DEX/ATK &gt; AGI &gt; HIT</x:v>
      </x:c>
      <x:c r="F88" s="50" t="str">
        <x:v>Cinder Spit</x:v>
      </x:c>
      <x:c r="G88" s="50" t="str">
        <x:v>Battle Rhythm</x:v>
      </x:c>
      <x:c r="H88" s="50" t="str">
        <x:v>Popgun Barrage</x:v>
      </x:c>
      <x:c r="I88" s="50" t="str">
        <x:v>Cycle Puffs into extra basic damage and refresh them through the big volley. Keep a tank in front to avoid needing Cheekguard.</x:v>
      </x:c>
    </x:row>
    <x:row r="89" ht="60" customHeight="1">
      <x:c r="A89" s="49" t="n">
        <x:v>42</x:v>
      </x:c>
      <x:c r="B89" s="50" t="str">
        <x:v>Puffiend</x:v>
      </x:c>
      <x:c r="C89" s="50" t="str">
        <x:v>Puffed survivor</x:v>
      </x:c>
      <x:c r="D89" s="50" t="str">
        <x:v>Middle/back</x:v>
      </x:c>
      <x:c r="E89" s="50" t="str">
        <x:v>DEX/ATK &gt; HP &gt; DEF/MDEF</x:v>
      </x:c>
      <x:c r="F89" s="50" t="str">
        <x:v>Cinder Spit</x:v>
      </x:c>
      <x:c r="G89" s="50" t="str">
        <x:v>Cheekguard</x:v>
      </x:c>
      <x:c r="H89" s="50" t="str">
        <x:v>Popgun Barrage</x:v>
      </x:c>
      <x:c r="I89" s="50" t="str">
        <x:v>Spend Puffs defensively when targeted after a monster dies. The same resource that fuels damage now buys enough time to finish the exchange.</x:v>
      </x:c>
    </x:row>
    <x:row r="90" ht="135" customHeight="1">
      <x:c r="A90" s="49" t="n">
        <x:v>43</x:v>
      </x:c>
      <x:c r="B90" s="50" t="str">
        <x:v>Crucibulk</x:v>
      </x:c>
      <x:c r="C90" s="50" t="str">
        <x:v>Mobile foundry</x:v>
      </x:c>
      <x:c r="D90" s="50" t="str">
        <x:v>Front/middle; Kilnling spawns beside the trainer</x:v>
      </x:c>
      <x:c r="E90" s="50" t="str">
        <x:v>HP/VIT &gt; INT/MATK &gt; DEF/MDEF</x:v>
      </x:c>
      <x:c r="F90" s="50" t="str">
        <x:v>Brace</x:v>
      </x:c>
      <x:c r="G90" s="50" t="str">
        <x:v>Cast a Kilnling</x:v>
      </x:c>
      <x:c r="H90" s="50" t="str">
        <x:v>Fortify</x:v>
      </x:c>
      <x:c r="I90" s="50" t="str">
        <x:v>Use Fortify to build Slag for a more durable guardian on a later cast. Brace leaves the reserve intact; the first Kilnling already works without it. The guardian provides a limited interception budget and small shots, never a full additional monster. Best when a knight or exposed ranged trainer needs repeated single-target protection.</x:v>
      </x:c>
    </x:row>
    <x:row r="91" ht="122.5" customHeight="1">
      <x:c r="A91" s="49" t="n">
        <x:v>43</x:v>
      </x:c>
      <x:c r="B91" s="50" t="str">
        <x:v>Crucibulk</x:v>
      </x:c>
      <x:c r="C91" s="50" t="str">
        <x:v>Battle furnace</x:v>
      </x:c>
      <x:c r="D91" s="50" t="str">
        <x:v>Front/middle with healing support</x:v>
      </x:c>
      <x:c r="E91" s="50" t="str">
        <x:v>INT/MATK &gt; HP &gt; DEF/MDEF</x:v>
      </x:c>
      <x:c r="F91" s="50" t="str">
        <x:v>Molten Ladle</x:v>
      </x:c>
      <x:c r="G91" s="50" t="str">
        <x:v>Focused Attack</x:v>
      </x:c>
      <x:c r="H91" s="50" t="str">
        <x:v>Crucible Overflow</x:v>
      </x:c>
      <x:c r="I91" s="50" t="str">
        <x:v>Omit both 8s support signatures and spend every Slag reserve on direct offense. This is better for clearing fragile groups or burst windows where a guardian would not live long enough to contribute. Pour a Protector remains an available alternative for immediate shielding when interception is unsuitable.</x:v>
      </x:c>
    </x:row>
    <x:row r="92" ht="60" customHeight="1">
      <x:c r="A92" s="49" t="n">
        <x:v>44</x:v>
      </x:c>
      <x:c r="B92" s="50" t="str">
        <x:v>Starfrog</x:v>
      </x:c>
      <x:c r="C92" s="50" t="str">
        <x:v>Constellation cannon</x:v>
      </x:c>
      <x:c r="D92" s="50" t="str">
        <x:v>Back</x:v>
      </x:c>
      <x:c r="E92" s="50" t="str">
        <x:v>INT/MATK &gt; HP</x:v>
      </x:c>
      <x:c r="F92" s="50" t="str">
        <x:v>Star Skip</x:v>
      </x:c>
      <x:c r="G92" s="50" t="str">
        <x:v>Glass Constellation</x:v>
      </x:c>
      <x:c r="H92" s="50" t="str">
        <x:v>Bellyful of Stars</x:v>
      </x:c>
      <x:c r="I92" s="50" t="str">
        <x:v>Pair with a mage or druid and an active-heavy second monster. Opening Stars give immediate value, while ally casts replenish the capped reserve.</x:v>
      </x:c>
    </x:row>
    <x:row r="93" ht="60" customHeight="1">
      <x:c r="A93" s="49" t="n">
        <x:v>44</x:v>
      </x:c>
      <x:c r="B93" s="50" t="str">
        <x:v>Starfrog</x:v>
      </x:c>
      <x:c r="C93" s="50" t="str">
        <x:v>Patient astronomer</x:v>
      </x:c>
      <x:c r="D93" s="50" t="str">
        <x:v>Back</x:v>
      </x:c>
      <x:c r="E93" s="50" t="str">
        <x:v>INT/MATK &gt; HP/MDEF</x:v>
      </x:c>
      <x:c r="F93" s="50" t="str">
        <x:v>Basic Ward</x:v>
      </x:c>
      <x:c r="G93" s="50" t="str">
        <x:v>Basic Heal</x:v>
      </x:c>
      <x:c r="H93" s="50" t="str">
        <x:v>Bellyful of Stars</x:v>
      </x:c>
      <x:c r="I93" s="50" t="str">
        <x:v>Remove the small Star-consuming nuke so the reserve is spent on the 12s spell. Contribute support while the large cooldown recovers.</x:v>
      </x:c>
    </x:row>
    <x:row r="94" ht="60" customHeight="1">
      <x:c r="A94" s="49" t="n">
        <x:v>45</x:v>
      </x:c>
      <x:c r="B94" s="50" t="str">
        <x:v>Auroradrake</x:v>
      </x:c>
      <x:c r="C94" s="50" t="str">
        <x:v>Dawn spellblade</x:v>
      </x:c>
      <x:c r="D94" s="50" t="str">
        <x:v>Front</x:v>
      </x:c>
      <x:c r="E94" s="50" t="str">
        <x:v>INT/MATK &gt; HP &gt; AGI</x:v>
      </x:c>
      <x:c r="F94" s="50" t="str">
        <x:v>Dawnlash</x:v>
      </x:c>
      <x:c r="G94" s="50" t="str">
        <x:v>Focused Attack</x:v>
      </x:c>
      <x:c r="H94" s="50" t="str">
        <x:v>Aurora Sweep</x:v>
      </x:c>
      <x:c r="I94" s="50" t="str">
        <x:v>Use damage to generate capped triage healing alongside a knight. MATK improves the offense and the passive's ceiling together.</x:v>
      </x:c>
    </x:row>
    <x:row r="95" ht="60" customHeight="1">
      <x:c r="A95" s="49" t="n">
        <x:v>45</x:v>
      </x:c>
      <x:c r="B95" s="50" t="str">
        <x:v>Auroradrake</x:v>
      </x:c>
      <x:c r="C95" s="50" t="str">
        <x:v>Gilled caretaker</x:v>
      </x:c>
      <x:c r="D95" s="50" t="str">
        <x:v>Front/middle</x:v>
      </x:c>
      <x:c r="E95" s="50" t="str">
        <x:v>HP/VIT &gt; INT/MATK &gt; MDEF/DEF</x:v>
      </x:c>
      <x:c r="F95" s="50" t="str">
        <x:v>Dawnlash</x:v>
      </x:c>
      <x:c r="G95" s="50" t="str">
        <x:v>Ribbon Gills</x:v>
      </x:c>
      <x:c r="H95" s="50" t="str">
        <x:v>Greater Heal</x:v>
      </x:c>
      <x:c r="I95" s="50" t="str">
        <x:v>Retain the fast healing-through-damage trigger but replace the large debuff strike with emergency recovery. Add a strong second damage dealer.</x:v>
      </x:c>
    </x:row>
    <x:row r="96" ht="122.5" customHeight="1">
      <x:c r="A96" s="49" t="n">
        <x:v>46</x:v>
      </x:c>
      <x:c r="B96" s="50" t="str">
        <x:v>Cindertroop</x:v>
      </x:c>
      <x:c r="C96" s="50" t="str">
        <x:v>Brood commander</x:v>
      </x:c>
      <x:c r="D96" s="50" t="str">
        <x:v>Front, with room for adjacent melee summons</x:v>
      </x:c>
      <x:c r="E96" s="50" t="str">
        <x:v>STR/ATK &gt; HP &gt; sufficient HIT</x:v>
      </x:c>
      <x:c r="F96" s="50" t="str">
        <x:v>Queen's Sting</x:v>
      </x:c>
      <x:c r="G96" s="50" t="str">
        <x:v>Brood Call</x:v>
      </x:c>
      <x:c r="H96" s="50" t="str">
        <x:v>Royal Mandate</x:v>
      </x:c>
      <x:c r="I96" s="50" t="str">
        <x:v>Focus a boss with the queen and three soldiers; ATK improves the whole brood, but owner attack speed does not accelerate ant clocks. Against groups, kill the first target quickly, then let survivors acquire the next legal enemy. Pair with a druid or a durable second monster rather than expecting tiny ants to be reliable tanks.</x:v>
      </x:c>
    </x:row>
    <x:row r="97" ht="122.5" customHeight="1">
      <x:c r="A97" s="49" t="n">
        <x:v>46</x:v>
      </x:c>
      <x:c r="B97" s="50" t="str">
        <x:v>Cindertroop</x:v>
      </x:c>
      <x:c r="C97" s="50" t="str">
        <x:v>Royal escort</x:v>
      </x:c>
      <x:c r="D97" s="50" t="str">
        <x:v>Front beside a knight, or between a ranged trainer and enemies</x:v>
      </x:c>
      <x:c r="E97" s="50" t="str">
        <x:v>HP/VIT &gt; DEF/MDEF &gt; STR/ATK</x:v>
      </x:c>
      <x:c r="F97" s="50" t="str">
        <x:v>Queen's Sting</x:v>
      </x:c>
      <x:c r="G97" s="50" t="str">
        <x:v>Swarm Screen</x:v>
      </x:c>
      <x:c r="H97" s="50" t="str">
        <x:v>Fortify</x:v>
      </x:c>
      <x:c r="I97" s="50" t="str">
        <x:v>Trade Brood Call for a dedicated Shield Ant: the 8s choices compete for one equipped slot. HP strengthens the interception budget, the queen's shields, and the opening soldier. Use this against dangerous single-target attacks; the second monster supplies damage. Do not rely on it against boss-wide area attacks.</x:v>
      </x:c>
    </x:row>
    <x:row r="98" ht="72.5" customHeight="1">
      <x:c r="A98" s="49" t="n">
        <x:v>47</x:v>
      </x:c>
      <x:c r="B98" s="50" t="str">
        <x:v>Cloverguard</x:v>
      </x:c>
      <x:c r="C98" s="50" t="str">
        <x:v>Lucky shell</x:v>
      </x:c>
      <x:c r="D98" s="50" t="str">
        <x:v>Front</x:v>
      </x:c>
      <x:c r="E98" s="50" t="str">
        <x:v>AGI/FLEE &gt; HP &gt; DEF; enough STR/HIT</x:v>
      </x:c>
      <x:c r="F98" s="50" t="str">
        <x:v>Leafplate Bump</x:v>
      </x:c>
      <x:c r="G98" s="50" t="str">
        <x:v>Clover Fold</x:v>
      </x:c>
      <x:c r="H98" s="50" t="str">
        <x:v>Fortify</x:v>
      </x:c>
      <x:c r="I98" s="50" t="str">
        <x:v>Use against basic-attack teams: evaded attacks create one-hit protection for the attacks that land. HP remains necessary because this is not guaranteed avoidance.</x:v>
      </x:c>
    </x:row>
    <x:row r="99" ht="60" customHeight="1">
      <x:c r="A99" s="49" t="n">
        <x:v>47</x:v>
      </x:c>
      <x:c r="B99" s="50" t="str">
        <x:v>Cloverguard</x:v>
      </x:c>
      <x:c r="C99" s="50" t="str">
        <x:v>Steady clover shield</x:v>
      </x:c>
      <x:c r="D99" s="50" t="str">
        <x:v>Front</x:v>
      </x:c>
      <x:c r="E99" s="50" t="str">
        <x:v>HP/VIT &gt; DEF/MDEF &gt; STR/ATK</x:v>
      </x:c>
      <x:c r="F99" s="50" t="str">
        <x:v>Brace</x:v>
      </x:c>
      <x:c r="G99" s="50" t="str">
        <x:v>Clover Fold</x:v>
      </x:c>
      <x:c r="H99" s="50" t="str">
        <x:v>Four-Leaf Shelter</x:v>
      </x:c>
      <x:c r="I99" s="50" t="str">
        <x:v>Use HP-based shields as the dependable protection plan. The opening Clover provides mitigation even without an evasion build.</x:v>
      </x:c>
    </x:row>
    <x:row r="100" ht="60" customHeight="1">
      <x:c r="A100" s="49" t="n">
        <x:v>48</x:v>
      </x:c>
      <x:c r="B100" s="50" t="str">
        <x:v>Reefvault</x:v>
      </x:c>
      <x:c r="C100" s="50" t="str">
        <x:v>Frontline breaker</x:v>
      </x:c>
      <x:c r="D100" s="50" t="str">
        <x:v>Front with a protector</x:v>
      </x:c>
      <x:c r="E100" s="50" t="str">
        <x:v>STR/ATK &gt; HIT &gt; CRIT/LUK</x:v>
      </x:c>
      <x:c r="F100" s="50" t="str">
        <x:v>Branchleg Kick</x:v>
      </x:c>
      <x:c r="G100" s="50" t="str">
        <x:v>Focused Attack</x:v>
      </x:c>
      <x:c r="H100" s="50" t="str">
        <x:v>Shellwhite Breaker</x:v>
      </x:c>
      <x:c r="I100" s="50" t="str">
        <x:v>Use a healer to preserve Long Lever and break a defended enemy front. The attack base stays STR despite the agile silhouette.</x:v>
      </x:c>
    </x:row>
    <x:row r="101" ht="72.5" customHeight="1">
      <x:c r="A101" s="49" t="n">
        <x:v>48</x:v>
      </x:c>
      <x:c r="B101" s="50" t="str">
        <x:v>Reefvault</x:v>
      </x:c>
      <x:c r="C101" s="50" t="str">
        <x:v>Guarded hopper</x:v>
      </x:c>
      <x:c r="D101" s="50" t="str">
        <x:v>Front</x:v>
      </x:c>
      <x:c r="E101" s="50" t="str">
        <x:v>STR/ATK &gt; HP &gt; DEF</x:v>
      </x:c>
      <x:c r="F101" s="50" t="str">
        <x:v>Branchleg Kick</x:v>
      </x:c>
      <x:c r="G101" s="50" t="str">
        <x:v>Tendon Lock</x:v>
      </x:c>
      <x:c r="H101" s="50" t="str">
        <x:v>Fortify</x:v>
      </x:c>
      <x:c r="I101" s="50" t="str">
        <x:v>Use shields to stay above the passive threshold. Sacrifice the big breaker for stable damage when incoming pressure is too high for a pure attacker.</x:v>
      </x:c>
    </x:row>
    <x:row r="102" ht="72.5" customHeight="1">
      <x:c r="A102" s="49" t="n">
        <x:v>49</x:v>
      </x:c>
      <x:c r="B102" s="50" t="str">
        <x:v>Cinderwink</x:v>
      </x:c>
      <x:c r="C102" s="50" t="str">
        <x:v>Ember detonator</x:v>
      </x:c>
      <x:c r="D102" s="50" t="str">
        <x:v>Back</x:v>
      </x:c>
      <x:c r="E102" s="50" t="str">
        <x:v>INT/MATK &gt; AGI &gt; HP</x:v>
      </x:c>
      <x:c r="F102" s="50" t="str">
        <x:v>Soot Spark</x:v>
      </x:c>
      <x:c r="G102" s="50" t="str">
        <x:v>Cup the Cinder</x:v>
      </x:c>
      <x:c r="H102" s="50" t="str">
        <x:v>Wink Out</x:v>
      </x:c>
      <x:c r="I102" s="50" t="str">
        <x:v>Use quick basics and the two smaller slots to set up an automatic early detonation. The fallback gate prevents indefinite waiting on an almost-dead target.</x:v>
      </x:c>
    </x:row>
    <x:row r="103" ht="85" customHeight="1">
      <x:c r="A103" s="49" t="n">
        <x:v>49</x:v>
      </x:c>
      <x:c r="B103" s="50" t="str">
        <x:v>Cinderwink</x:v>
      </x:c>
      <x:c r="C103" s="50" t="str">
        <x:v>Slow-burning support slot</x:v>
      </x:c>
      <x:c r="D103" s="50" t="str">
        <x:v>Middle/back</x:v>
      </x:c>
      <x:c r="E103" s="50" t="str">
        <x:v>INT/MATK &gt; HP/MDEF</x:v>
      </x:c>
      <x:c r="F103" s="50" t="str">
        <x:v>Soot Spark</x:v>
      </x:c>
      <x:c r="G103" s="50" t="str">
        <x:v>Basic Heal</x:v>
      </x:c>
      <x:c r="H103" s="50" t="str">
        <x:v>Rally</x:v>
      </x:c>
      <x:c r="I103" s="50" t="str">
        <x:v>Leave Embers ticking instead of consuming them and use the larger slots to support the trainer. It remains a damage species with a utility loadout, not a dedicated healer.</x:v>
      </x:c>
    </x:row>
    <x:row r="104" ht="60" customHeight="1">
      <x:c r="A104" s="49" t="n">
        <x:v>50</x:v>
      </x:c>
      <x:c r="B104" s="50" t="str">
        <x:v>Leafmantis</x:v>
      </x:c>
      <x:c r="C104" s="50" t="str">
        <x:v>Ambush blade</x:v>
      </x:c>
      <x:c r="D104" s="50" t="str">
        <x:v>Front with cover</x:v>
      </x:c>
      <x:c r="E104" s="50" t="str">
        <x:v>DEX/ATK &gt; CRIT/LUK &gt; HIT</x:v>
      </x:c>
      <x:c r="F104" s="50" t="str">
        <x:v>Budblade</x:v>
      </x:c>
      <x:c r="G104" s="50" t="str">
        <x:v>Close the Leaves</x:v>
      </x:c>
      <x:c r="H104" s="50" t="str">
        <x:v>Unfurling Cut</x:v>
      </x:c>
      <x:c r="I104" s="50" t="str">
        <x:v>The defensive fold primes the next available hit without manual timing. Favor strong individual hits rather than many weak proc rolls.</x:v>
      </x:c>
    </x:row>
    <x:row r="105" ht="72.5" customHeight="1">
      <x:c r="A105" s="49" t="n">
        <x:v>50</x:v>
      </x:c>
      <x:c r="B105" s="50" t="str">
        <x:v>Leafmantis</x:v>
      </x:c>
      <x:c r="C105" s="50" t="str">
        <x:v>Leaf duelist</x:v>
      </x:c>
      <x:c r="D105" s="50" t="str">
        <x:v>Front</x:v>
      </x:c>
      <x:c r="E105" s="50" t="str">
        <x:v>DEX/ATK &gt; AGI/FLEE &gt; HP</x:v>
      </x:c>
      <x:c r="F105" s="50" t="str">
        <x:v>Brace</x:v>
      </x:c>
      <x:c r="G105" s="50" t="str">
        <x:v>Close the Leaves</x:v>
      </x:c>
      <x:c r="H105" s="50" t="str">
        <x:v>Unfurling Cut</x:v>
      </x:c>
      <x:c r="I105" s="50" t="str">
        <x:v>Use two non-damaging buttons to obtain Ambush while defending. The heavy cut and normal attacks provide offense, leaving no four-skill combo requirement.</x:v>
      </x:c>
    </x:row>
    <x:row r="106" ht="122.5" customHeight="1">
      <x:c r="A106" s="49" t="n">
        <x:v>51</x:v>
      </x:c>
      <x:c r="B106" s="50" t="str">
        <x:v>Lumimoth</x:v>
      </x:c>
      <x:c r="C106" s="50" t="str">
        <x:v>Crossfire lamplighter</x:v>
      </x:c>
      <x:c r="D106" s="50" t="str">
        <x:v>Back; cover trainer and second monster separately</x:v>
      </x:c>
      <x:c r="E106" s="50" t="str">
        <x:v>INT/MATK &gt; HP</x:v>
      </x:c>
      <x:c r="F106" s="50" t="str">
        <x:v>Lantern Dust</x:v>
      </x:c>
      <x:c r="G106" s="50" t="str">
        <x:v>Hood of Light</x:v>
      </x:c>
      <x:c r="H106" s="50" t="str">
        <x:v>Two Lanterns</x:v>
      </x:c>
      <x:c r="I106" s="50" t="str">
        <x:v>Support a hunter and physical fighter placed apart rather than forcing both into one aura. A lone evasive boss is enough to justify the accuracy; against many enemies, the lights keep each core attacker useful on its own target. MATK improves the initial shields; HP makes the beacons harder to remove.</x:v>
      </x:c>
    </x:row>
    <x:row r="107" ht="97.5" customHeight="1">
      <x:c r="A107" s="49" t="n">
        <x:v>51</x:v>
      </x:c>
      <x:c r="B107" s="50" t="str">
        <x:v>Lumimoth</x:v>
      </x:c>
      <x:c r="C107" s="50" t="str">
        <x:v>Sheltered lightkeeper</x:v>
      </x:c>
      <x:c r="D107" s="50" t="str">
        <x:v>Middle/back</x:v>
      </x:c>
      <x:c r="E107" s="50" t="str">
        <x:v>HP/VIT &gt; INT/MATK &gt; MDEF</x:v>
      </x:c>
      <x:c r="F107" s="50" t="str">
        <x:v>Basic Ward</x:v>
      </x:c>
      <x:c r="G107" s="50" t="str">
        <x:v>Hood of Light</x:v>
      </x:c>
      <x:c r="H107" s="50" t="str">
        <x:v>Greater Heal</x:v>
      </x:c>
      <x:c r="I107" s="50" t="str">
        <x:v>Keep the always-on HIT support but omit the fixed beacons when attacks are already accurate or the encounter repeatedly destroys ground objects. Invest in keeping Lumimoth and the trainer alive rather than increasing summon count.</x:v>
      </x:c>
    </x:row>
    <x:row r="108" ht="72.5" customHeight="1">
      <x:c r="A108" s="49" t="n">
        <x:v>52</x:v>
      </x:c>
      <x:c r="B108" s="50" t="str">
        <x:v>Mirrormantis</x:v>
      </x:c>
      <x:c r="C108" s="50" t="str">
        <x:v>Reflective blade</x:v>
      </x:c>
      <x:c r="D108" s="50" t="str">
        <x:v>Front</x:v>
      </x:c>
      <x:c r="E108" s="50" t="str">
        <x:v>STR/ATK &gt; HP &gt; HIT</x:v>
      </x:c>
      <x:c r="F108" s="50" t="str">
        <x:v>Mirror Edge</x:v>
      </x:c>
      <x:c r="G108" s="50" t="str">
        <x:v>Perfect Angle</x:v>
      </x:c>
      <x:c r="H108" s="50" t="str">
        <x:v>Shattered Reflection</x:v>
      </x:c>
      <x:c r="I108" s="50" t="str">
        <x:v>Use against active-heavy front enemies. ATK strengthens both direct attacks and the reflect ceiling; preserving a shield enables the large cut.</x:v>
      </x:c>
    </x:row>
    <x:row r="109" ht="72.5" customHeight="1">
      <x:c r="A109" s="49" t="n">
        <x:v>52</x:v>
      </x:c>
      <x:c r="B109" s="50" t="str">
        <x:v>Mirrormantis</x:v>
      </x:c>
      <x:c r="C109" s="50" t="str">
        <x:v>Mirror escort</x:v>
      </x:c>
      <x:c r="D109" s="50" t="str">
        <x:v>Front</x:v>
      </x:c>
      <x:c r="E109" s="50" t="str">
        <x:v>HP/VIT &gt; STR/ATK &gt; DEF/MDEF</x:v>
      </x:c>
      <x:c r="F109" s="50" t="str">
        <x:v>Brace</x:v>
      </x:c>
      <x:c r="G109" s="50" t="str">
        <x:v>Perfect Angle</x:v>
      </x:c>
      <x:c r="H109" s="50" t="str">
        <x:v>Fortify</x:v>
      </x:c>
      <x:c r="I109" s="50" t="str">
        <x:v>Layer shields and mitigation to absorb an enemy burst sequence for a fragile trainer. Reflection supplies some damage without needing all offensive slots.</x:v>
      </x:c>
    </x:row>
    <x:row r="110" ht="60" customHeight="1">
      <x:c r="A110" s="49" t="n">
        <x:v>53</x:v>
      </x:c>
      <x:c r="B110" s="50" t="str">
        <x:v>Prismspear</x:v>
      </x:c>
      <x:c r="C110" s="50" t="str">
        <x:v>Spectrum marksman</x:v>
      </x:c>
      <x:c r="D110" s="50" t="str">
        <x:v>Back</x:v>
      </x:c>
      <x:c r="E110" s="50" t="str">
        <x:v>DEX/ATK &gt; HIT &gt; HP</x:v>
      </x:c>
      <x:c r="F110" s="50" t="str">
        <x:v>Facet Lance</x:v>
      </x:c>
      <x:c r="G110" s="50" t="str">
        <x:v>Refracting Edge</x:v>
      </x:c>
      <x:c r="H110" s="50" t="str">
        <x:v>Spectrum Skewer</x:v>
      </x:c>
      <x:c r="I110" s="50" t="str">
        <x:v>Use against frontliners overinvested in physical defense. All damage still benefits from DEX-derived ATK; MATK gear is intentionally unnecessary.</x:v>
      </x:c>
    </x:row>
    <x:row r="111" ht="60" customHeight="1">
      <x:c r="A111" s="49" t="n">
        <x:v>53</x:v>
      </x:c>
      <x:c r="B111" s="50" t="str">
        <x:v>Prismspear</x:v>
      </x:c>
      <x:c r="C111" s="50" t="str">
        <x:v>Protected prism</x:v>
      </x:c>
      <x:c r="D111" s="50" t="str">
        <x:v>Middle/back</x:v>
      </x:c>
      <x:c r="E111" s="50" t="str">
        <x:v>DEX/ATK &gt; HP/MDEF &gt; HIT</x:v>
      </x:c>
      <x:c r="F111" s="50" t="str">
        <x:v>Facet Lance</x:v>
      </x:c>
      <x:c r="G111" s="50" t="str">
        <x:v>Refracting Edge</x:v>
      </x:c>
      <x:c r="H111" s="50" t="str">
        <x:v>Fortify</x:v>
      </x:c>
      <x:c r="I111" s="50" t="str">
        <x:v>Keep the mixed-damage tools but trade the large attack for survival after retargeting. Pair with a healer or knight trainer.</x:v>
      </x:c>
    </x:row>
    <x:row r="112" ht="122.5" customHeight="1">
      <x:c r="A112" s="49" t="n">
        <x:v>54</x:v>
      </x:c>
      <x:c r="B112" s="50" t="str">
        <x:v>Resinrook</x:v>
      </x:c>
      <x:c r="C112" s="50" t="str">
        <x:v>Resin firing line</x:v>
      </x:c>
      <x:c r="D112" s="50" t="str">
        <x:v>Front/middle; trainer behind the screen</x:v>
      </x:c>
      <x:c r="E112" s="50" t="str">
        <x:v>HP/VIT &gt; DEF/MDEF</x:v>
      </x:c>
      <x:c r="F112" s="50" t="str">
        <x:v>Brace</x:v>
      </x:c>
      <x:c r="G112" s="50" t="str">
        <x:v>Seal the Cracks</x:v>
      </x:c>
      <x:c r="H112" s="50" t="str">
        <x:v>Resin Bastion</x:v>
      </x:c>
      <x:c r="I112" s="50" t="str">
        <x:v>Counter packs of archers or a projectile-using boss. Automatic placement covers the strongest visible ranged threat to the trainer, not every direction. Screen HP provides a finite projectile budget; Resin discourages repeated basic shots. Flanking ranged enemies remain dangerous.</x:v>
      </x:c>
    </x:row>
    <x:row r="113" ht="97.5" customHeight="1">
      <x:c r="A113" s="49" t="n">
        <x:v>54</x:v>
      </x:c>
      <x:c r="B113" s="50" t="str">
        <x:v>Resinrook</x:v>
      </x:c>
      <x:c r="C113" s="50" t="str">
        <x:v>Amber brawler</x:v>
      </x:c>
      <x:c r="D113" s="50" t="str">
        <x:v>Front against melee attackers</x:v>
      </x:c>
      <x:c r="E113" s="50" t="str">
        <x:v>STR/ATK &gt; HP &gt; HIT</x:v>
      </x:c>
      <x:c r="F113" s="50" t="str">
        <x:v>Amber Fist</x:v>
      </x:c>
      <x:c r="G113" s="50" t="str">
        <x:v>Seal the Cracks</x:v>
      </x:c>
      <x:c r="H113" s="50" t="str">
        <x:v>Heavy Attack</x:v>
      </x:c>
      <x:c r="I113" s="50" t="str">
        <x:v>Omit the screen against a melee-only boss or ground-area spells. Fight directly, applying Resin through received basics and preserving an ordinary self-shield. This keeps the species useful without giving its projectile tool universal protection.</x:v>
      </x:c>
    </x:row>
    <x:row r="114" ht="122.5" customHeight="1">
      <x:c r="A114" s="49" t="n">
        <x:v>55</x:v>
      </x:c>
      <x:c r="B114" s="50" t="str">
        <x:v>Saffrune</x:v>
      </x:c>
      <x:c r="C114" s="50" t="str">
        <x:v>Siege scribe</x:v>
      </x:c>
      <x:c r="D114" s="50" t="str">
        <x:v>Middle/back; standards cover the main exchange</x:v>
      </x:c>
      <x:c r="E114" s="50" t="str">
        <x:v>INT/MATK &gt; HP</x:v>
      </x:c>
      <x:c r="F114" s="50" t="str">
        <x:v>Saffron Script</x:v>
      </x:c>
      <x:c r="G114" s="50" t="str">
        <x:v>Root Rune</x:v>
      </x:c>
      <x:c r="H114" s="50" t="str">
        <x:v>Petal Benediction</x:v>
      </x:c>
      <x:c r="I114" s="50" t="str">
        <x:v>A stationary boss lets an active-heavy trainer use both standards while the three actual deployment/cast slots complete the Inscription cycle. Against groups, Root Rune follows the actual primary hit rather than multiplying damage across all splash targets. Position matters more than moving quickly.</x:v>
      </x:c>
    </x:row>
    <x:row r="115" ht="110" customHeight="1">
      <x:c r="A115" s="49" t="n">
        <x:v>55</x:v>
      </x:c>
      <x:c r="B115" s="50" t="str">
        <x:v>Saffrune</x:v>
      </x:c>
      <x:c r="C115" s="50" t="str">
        <x:v>Ward keeper</x:v>
      </x:c>
      <x:c r="D115" s="50" t="str">
        <x:v>Middle/back; keep trainer inside the defensive circle</x:v>
      </x:c>
      <x:c r="E115" s="50" t="str">
        <x:v>INT/MATK &gt; HP/MDEF</x:v>
      </x:c>
      <x:c r="F115" s="50" t="str">
        <x:v>Basic Ward</x:v>
      </x:c>
      <x:c r="G115" s="50" t="str">
        <x:v>Basic Heal</x:v>
      </x:c>
      <x:c r="H115" s="50" t="str">
        <x:v>Petal Benediction</x:v>
      </x:c>
      <x:c r="I115" s="50" t="str">
        <x:v>Omit the offensive standard and combine direct recovery with replenished small shields. Frequent attacks can consume each pulse, but a large burst can still pass through a small ward. Basic Ward and Basic Heal remain real slot casts for the passive.</x:v>
      </x:c>
    </x:row>
    <x:row r="116" ht="60" customHeight="1">
      <x:c r="A116" s="49" t="n">
        <x:v>56</x:v>
      </x:c>
      <x:c r="B116" s="50" t="str">
        <x:v>Coalgrub</x:v>
      </x:c>
      <x:c r="C116" s="50" t="str">
        <x:v>Attrition brawler</x:v>
      </x:c>
      <x:c r="D116" s="50" t="str">
        <x:v>Front</x:v>
      </x:c>
      <x:c r="E116" s="50" t="str">
        <x:v>STR/ATK &gt; HP &gt; HIT</x:v>
      </x:c>
      <x:c r="F116" s="50" t="str">
        <x:v>Cinder Gnaw</x:v>
      </x:c>
      <x:c r="G116" s="50" t="str">
        <x:v>Battle Rhythm</x:v>
      </x:c>
      <x:c r="H116" s="50" t="str">
        <x:v>Coalbelly Slam</x:v>
      </x:c>
      <x:c r="I116" s="50" t="str">
        <x:v>Use as a counterpick into DoT pressure. A healer lets it retain the offensive bonus while its passive reduces ticking damage.</x:v>
      </x:c>
    </x:row>
    <x:row r="117" ht="72.5" customHeight="1">
      <x:c r="A117" s="49" t="n">
        <x:v>56</x:v>
      </x:c>
      <x:c r="B117" s="50" t="str">
        <x:v>Coalgrub</x:v>
      </x:c>
      <x:c r="C117" s="50" t="str">
        <x:v>Clean-burning grub</x:v>
      </x:c>
      <x:c r="D117" s="50" t="str">
        <x:v>Front</x:v>
      </x:c>
      <x:c r="E117" s="50" t="str">
        <x:v>HP/VIT &gt; STR/ATK &gt; DEF/MDEF</x:v>
      </x:c>
      <x:c r="F117" s="50" t="str">
        <x:v>Cinder Gnaw</x:v>
      </x:c>
      <x:c r="G117" s="50" t="str">
        <x:v>Vent the Coals</x:v>
      </x:c>
      <x:c r="H117" s="50" t="str">
        <x:v>Fortify</x:v>
      </x:c>
      <x:c r="I117" s="50" t="str">
        <x:v>Prioritize survival over maintaining the DoT bonus. The automatic cleanse activates only when useful instead of deleting the offensive condition at full health.</x:v>
      </x:c>
    </x:row>
    <x:row r="118" ht="60" customHeight="1">
      <x:c r="A118" s="49" t="n">
        <x:v>57</x:v>
      </x:c>
      <x:c r="B118" s="50" t="str">
        <x:v>Sunscarab</x:v>
      </x:c>
      <x:c r="C118" s="50" t="str">
        <x:v>Solar bulwark</x:v>
      </x:c>
      <x:c r="D118" s="50" t="str">
        <x:v>Front</x:v>
      </x:c>
      <x:c r="E118" s="50" t="str">
        <x:v>HP/VIT &gt; INT/MATK &gt; DEF/MDEF</x:v>
      </x:c>
      <x:c r="F118" s="50" t="str">
        <x:v>Brace</x:v>
      </x:c>
      <x:c r="G118" s="50" t="str">
        <x:v>Crescent Carapace</x:v>
      </x:c>
      <x:c r="H118" s="50" t="str">
        <x:v>Dawnshell</x:v>
      </x:c>
      <x:c r="I118" s="50" t="str">
        <x:v>Use health and shielding to stay in the stronger outgoing-heal stance. When wounded, the receiving-heal stance helps a druid restore it.</x:v>
      </x:c>
    </x:row>
    <x:row r="119" ht="72.5" customHeight="1">
      <x:c r="A119" s="49" t="n">
        <x:v>57</x:v>
      </x:c>
      <x:c r="B119" s="50" t="str">
        <x:v>Sunscarab</x:v>
      </x:c>
      <x:c r="C119" s="50" t="str">
        <x:v>Radiant combat medic</x:v>
      </x:c>
      <x:c r="D119" s="50" t="str">
        <x:v>Front/middle</x:v>
      </x:c>
      <x:c r="E119" s="50" t="str">
        <x:v>INT/MATK &gt; HP</x:v>
      </x:c>
      <x:c r="F119" s="50" t="str">
        <x:v>Sunpress</x:v>
      </x:c>
      <x:c r="G119" s="50" t="str">
        <x:v>Basic Heal</x:v>
      </x:c>
      <x:c r="H119" s="50" t="str">
        <x:v>Dawnshell</x:v>
      </x:c>
      <x:c r="I119" s="50" t="str">
        <x:v>Invest in MATK and keep a sturdier protector in front when possible. The fast damaging heal and direct recovery support a knight without requiring ATK.</x:v>
      </x:c>
    </x:row>
    <x:row r="120" ht="60" customHeight="1">
      <x:c r="A120" s="49" t="n">
        <x:v>58</x:v>
      </x:c>
      <x:c r="B120" s="50" t="str">
        <x:v>Brontobug</x:v>
      </x:c>
      <x:c r="C120" s="50" t="str">
        <x:v>Battle drummer</x:v>
      </x:c>
      <x:c r="D120" s="50" t="str">
        <x:v>Front</x:v>
      </x:c>
      <x:c r="E120" s="50" t="str">
        <x:v>STR/ATK &gt; AGI &gt; HP</x:v>
      </x:c>
      <x:c r="F120" s="50" t="str">
        <x:v>Drumhead Bash</x:v>
      </x:c>
      <x:c r="G120" s="50" t="str">
        <x:v>Battle Drumming</x:v>
      </x:c>
      <x:c r="H120" s="50" t="str">
        <x:v>Thunder Drum</x:v>
      </x:c>
      <x:c r="I120" s="50" t="str">
        <x:v>Pair with a hunter or STR knight. Basic rhythm adds modest protection while the drumming improves a physical focus-fire team.</x:v>
      </x:c>
    </x:row>
    <x:row r="121" ht="85" customHeight="1">
      <x:c r="A121" s="49" t="n">
        <x:v>58</x:v>
      </x:c>
      <x:c r="B121" s="50" t="str">
        <x:v>Brontobug</x:v>
      </x:c>
      <x:c r="C121" s="50" t="str">
        <x:v>Heartbeat escort</x:v>
      </x:c>
      <x:c r="D121" s="50" t="str">
        <x:v>Front</x:v>
      </x:c>
      <x:c r="E121" s="50" t="str">
        <x:v>HP/VIT &gt; AGI &gt; STR/ATK</x:v>
      </x:c>
      <x:c r="F121" s="50" t="str">
        <x:v>Drumhead Bash</x:v>
      </x:c>
      <x:c r="G121" s="50" t="str">
        <x:v>Battle Rhythm</x:v>
      </x:c>
      <x:c r="H121" s="50" t="str">
        <x:v>Fortify</x:v>
      </x:c>
      <x:c r="I121" s="50" t="str">
        <x:v>Invest in health and basic-attack frequency to create small shields repeatedly. Drumhead Bash supplies modest physical pressure; the trainer and other monster take the main damage role.</x:v>
      </x:c>
    </x:row>
    <x:row r="122" ht="60" customHeight="1">
      <x:c r="A122" s="49" t="n">
        <x:v>59</x:v>
      </x:c>
      <x:c r="B122" s="50" t="str">
        <x:v>Mournmantle</x:v>
      </x:c>
      <x:c r="C122" s="50" t="str">
        <x:v>Elegy finisher</x:v>
      </x:c>
      <x:c r="D122" s="50" t="str">
        <x:v>Back</x:v>
      </x:c>
      <x:c r="E122" s="50" t="str">
        <x:v>INT/MATK &gt; HP</x:v>
      </x:c>
      <x:c r="F122" s="50" t="str">
        <x:v>Mantle Thorn</x:v>
      </x:c>
      <x:c r="G122" s="50" t="str">
        <x:v>Gathered Gloom</x:v>
      </x:c>
      <x:c r="H122" s="50" t="str">
        <x:v>Elegy</x:v>
      </x:c>
      <x:c r="I122" s="50" t="str">
        <x:v>Let another attacker push the enemy frontline into the lower health band, then capitalize on the passive and Elegy's protective payoff.</x:v>
      </x:c>
    </x:row>
    <x:row r="123" ht="72.5" customHeight="1">
      <x:c r="A123" s="49" t="n">
        <x:v>59</x:v>
      </x:c>
      <x:c r="B123" s="50" t="str">
        <x:v>Mournmantle</x:v>
      </x:c>
      <x:c r="C123" s="50" t="str">
        <x:v>Gloom attendant</x:v>
      </x:c>
      <x:c r="D123" s="50" t="str">
        <x:v>Middle/back</x:v>
      </x:c>
      <x:c r="E123" s="50" t="str">
        <x:v>INT/MATK &gt; HP/MDEF</x:v>
      </x:c>
      <x:c r="F123" s="50" t="str">
        <x:v>Mantle Thorn</x:v>
      </x:c>
      <x:c r="G123" s="50" t="str">
        <x:v>Basic Heal</x:v>
      </x:c>
      <x:c r="H123" s="50" t="str">
        <x:v>Elegy</x:v>
      </x:c>
      <x:c r="I123" s="50" t="str">
        <x:v>Retain finishing pressure but exchange the middle nuke for a heal. Useful behind a knight who needs occasional recovery more than a second full damage caster.</x:v>
      </x:c>
    </x:row>
    <x:row r="124" ht="60" customHeight="1">
      <x:c r="A124" s="49" t="n">
        <x:v>60</x:v>
      </x:c>
      <x:c r="B124" s="50" t="str">
        <x:v>Whistlepod</x:v>
      </x:c>
      <x:c r="C124" s="50" t="str">
        <x:v>Hunter's metronome</x:v>
      </x:c>
      <x:c r="D124" s="50" t="str">
        <x:v>Back</x:v>
      </x:c>
      <x:c r="E124" s="50" t="str">
        <x:v>DEX/ATK &gt; AGI &gt; HP</x:v>
      </x:c>
      <x:c r="F124" s="50" t="str">
        <x:v>Signal Seed</x:v>
      </x:c>
      <x:c r="G124" s="50" t="str">
        <x:v>Marching Whistle</x:v>
      </x:c>
      <x:c r="H124" s="50" t="str">
        <x:v>Rally</x:v>
      </x:c>
      <x:c r="I124" s="50" t="str">
        <x:v>Help a hunter land and accelerate basic attacks. Avoid MATK investment and omit Healing Refrain; the support value comes from accuracy and tempo.</x:v>
      </x:c>
    </x:row>
    <x:row r="125" ht="72.5" customHeight="1">
      <x:c r="A125" s="49" t="n">
        <x:v>60</x:v>
      </x:c>
      <x:c r="B125" s="50" t="str">
        <x:v>Whistlepod</x:v>
      </x:c>
      <x:c r="C125" s="50" t="str">
        <x:v>Field musician</x:v>
      </x:c>
      <x:c r="D125" s="50" t="str">
        <x:v>Middle/back</x:v>
      </x:c>
      <x:c r="E125" s="50" t="str">
        <x:v>INT/MATK &gt; HP &gt; enough DEX/HIT and AGI</x:v>
      </x:c>
      <x:c r="F125" s="50" t="str">
        <x:v>Signal Seed</x:v>
      </x:c>
      <x:c r="G125" s="50" t="str">
        <x:v>Basic Heal</x:v>
      </x:c>
      <x:c r="H125" s="50" t="str">
        <x:v>Healing Refrain</x:v>
      </x:c>
      <x:c r="I125" s="50" t="str">
        <x:v>Accept weaker physical basics to create a true healing hybrid. Use modest accuracy to collect Beats, which are now reserved for the larger recovery cast.</x:v>
      </x:c>
    </x:row>
    <x:row r="126" ht="110" customHeight="1">
      <x:c r="A126" s="49" t="n">
        <x:v>61</x:v>
      </x:c>
      <x:c r="B126" s="50" t="str">
        <x:v>Moonweaver</x:v>
      </x:c>
      <x:c r="C126" s="50" t="str">
        <x:v>Silk battlefield</x:v>
      </x:c>
      <x:c r="D126" s="50" t="str">
        <x:v>Back; anchor at the current clash</x:v>
      </x:c>
      <x:c r="E126" s="50" t="str">
        <x:v>INT/MATK &gt; HP</x:v>
      </x:c>
      <x:c r="F126" s="50" t="str">
        <x:v>Moonthread Needle</x:v>
      </x:c>
      <x:c r="G126" s="50" t="str">
        <x:v>Silken Canopy</x:v>
      </x:c>
      <x:c r="H126" s="50" t="str">
        <x:v>Crescent Loom</x:v>
      </x:c>
      <x:c r="I126" s="50" t="str">
        <x:v>A shielded knight keeps dueling within the web while the boss receives damage and Thread. Against packs, up to three enemies are pressured without waiting for them to move. Pair with shielding allies; the web does not protect unshielded teammates through the passive.</x:v>
      </x:c>
    </x:row>
    <x:row r="127" ht="85" customHeight="1">
      <x:c r="A127" s="49" t="n">
        <x:v>61</x:v>
      </x:c>
      <x:c r="B127" s="50" t="str">
        <x:v>Moonweaver</x:v>
      </x:c>
      <x:c r="C127" s="50" t="str">
        <x:v>Lunar attendant</x:v>
      </x:c>
      <x:c r="D127" s="50" t="str">
        <x:v>Middle/back</x:v>
      </x:c>
      <x:c r="E127" s="50" t="str">
        <x:v>INT/MATK &gt; HP/MDEF</x:v>
      </x:c>
      <x:c r="F127" s="50" t="str">
        <x:v>Moonthread Needle</x:v>
      </x:c>
      <x:c r="G127" s="50" t="str">
        <x:v>Silken Canopy</x:v>
      </x:c>
      <x:c r="H127" s="50" t="str">
        <x:v>Greater Heal</x:v>
      </x:c>
      <x:c r="I127" s="50" t="str">
        <x:v>Prefer direct marks, shields and healing when a boss destroys nodes rapidly or the battle changes position after frequent kills. This preserves a useful support build without depending on persistent terrain.</x:v>
      </x:c>
    </x:row>
    <x:row r="128" ht="72.5" customHeight="1">
      <x:c r="A128" s="49" t="n">
        <x:v>62</x:v>
      </x:c>
      <x:c r="B128" s="50" t="str">
        <x:v>Pearlweaver</x:v>
      </x:c>
      <x:c r="C128" s="50" t="str">
        <x:v>Pearl critical engine</x:v>
      </x:c>
      <x:c r="D128" s="50" t="str">
        <x:v>Back</x:v>
      </x:c>
      <x:c r="E128" s="50" t="str">
        <x:v>DEX/ATK &gt; AGI &gt; moderate CRIT/LUK</x:v>
      </x:c>
      <x:c r="F128" s="50" t="str">
        <x:v>Pearl Prick</x:v>
      </x:c>
      <x:c r="G128" s="50" t="str">
        <x:v>Battle Rhythm</x:v>
      </x:c>
      <x:c r="H128" s="50" t="str">
        <x:v>String of Pearls</x:v>
      </x:c>
      <x:c r="I128" s="50" t="str">
        <x:v>Use frequent basics to build the chance bonus naturally. Moderate baseline crit leaves room for the passive rather than investing blindly in the maximum possible crit.</x:v>
      </x:c>
    </x:row>
    <x:row r="129" ht="60" customHeight="1">
      <x:c r="A129" s="49" t="n">
        <x:v>62</x:v>
      </x:c>
      <x:c r="B129" s="50" t="str">
        <x:v>Pearlweaver</x:v>
      </x:c>
      <x:c r="C129" s="50" t="str">
        <x:v>Armored pearl</x:v>
      </x:c>
      <x:c r="D129" s="50" t="str">
        <x:v>Middle/back</x:v>
      </x:c>
      <x:c r="E129" s="50" t="str">
        <x:v>DEX/ATK &gt; HP &gt; CRIT/LUK</x:v>
      </x:c>
      <x:c r="F129" s="50" t="str">
        <x:v>Pearl Prick</x:v>
      </x:c>
      <x:c r="G129" s="50" t="str">
        <x:v>Polished Shell</x:v>
      </x:c>
      <x:c r="H129" s="50" t="str">
        <x:v>Fortify</x:v>
      </x:c>
      <x:c r="I129" s="50" t="str">
        <x:v>Trade peak burst for shields. Critical basics still cash out the accumulating chance without needing the three-hit signature.</x:v>
      </x:c>
    </x:row>
    <x:row r="130" ht="60" customHeight="1">
      <x:c r="A130" s="49" t="n">
        <x:v>63</x:v>
      </x:c>
      <x:c r="B130" s="50" t="str">
        <x:v>Silkstep</x:v>
      </x:c>
      <x:c r="C130" s="50" t="str">
        <x:v>Transition duelist</x:v>
      </x:c>
      <x:c r="D130" s="50" t="str">
        <x:v>Front with cover</x:v>
      </x:c>
      <x:c r="E130" s="50" t="str">
        <x:v>DEX/ATK &gt; CRIT/LUK &gt; HIT</x:v>
      </x:c>
      <x:c r="F130" s="50" t="str">
        <x:v>Silkbone Jab</x:v>
      </x:c>
      <x:c r="G130" s="50" t="str">
        <x:v>Focused Attack</x:v>
      </x:c>
      <x:c r="H130" s="50" t="str">
        <x:v>Severed Stitch</x:v>
      </x:c>
      <x:c r="I130" s="50" t="str">
        <x:v>Join focus fire on the first monster, then use the brief new-target Shroud to survive the next exchange. It does not walk faster or dodge spells.</x:v>
      </x:c>
    </x:row>
    <x:row r="131" ht="72.5" customHeight="1">
      <x:c r="A131" s="49" t="n">
        <x:v>63</x:v>
      </x:c>
      <x:c r="B131" s="50" t="str">
        <x:v>Silkstep</x:v>
      </x:c>
      <x:c r="C131" s="50" t="str">
        <x:v>Elusive skeleton</x:v>
      </x:c>
      <x:c r="D131" s="50" t="str">
        <x:v>Front</x:v>
      </x:c>
      <x:c r="E131" s="50" t="str">
        <x:v>AGI/FLEE &gt; DEX/ATK &gt; HP</x:v>
      </x:c>
      <x:c r="F131" s="50" t="str">
        <x:v>Silkbone Jab</x:v>
      </x:c>
      <x:c r="G131" s="50" t="str">
        <x:v>Loose Hem</x:v>
      </x:c>
      <x:c r="H131" s="50" t="str">
        <x:v>Fortify</x:v>
      </x:c>
      <x:c r="I131" s="50" t="str">
        <x:v>Use against basic physical attacks with a druid supporting it. The opening evade buys a small setup window, while normal FLEE handles later attacks.</x:v>
      </x:c>
    </x:row>
    <x:row r="132" ht="60" customHeight="1">
      <x:c r="A132" s="49" t="n">
        <x:v>64</x:v>
      </x:c>
      <x:c r="B132" s="50" t="str">
        <x:v>Grinroot</x:v>
      </x:c>
      <x:c r="C132" s="50" t="str">
        <x:v>Root-knuckled escort</x:v>
      </x:c>
      <x:c r="D132" s="50" t="str">
        <x:v>Front</x:v>
      </x:c>
      <x:c r="E132" s="50" t="str">
        <x:v>STR/ATK &gt; HP &gt; AGI</x:v>
      </x:c>
      <x:c r="F132" s="50" t="str">
        <x:v>Rootknuckle</x:v>
      </x:c>
      <x:c r="G132" s="50" t="str">
        <x:v>Grinning Guard</x:v>
      </x:c>
      <x:c r="H132" s="50" t="str">
        <x:v>Fortify</x:v>
      </x:c>
      <x:c r="I132" s="50" t="str">
        <x:v>Ignore MATK and convert physical pressure into a stronger HP/ATK-based trainer shield. Pair with a ranged damage trainer.</x:v>
      </x:c>
    </x:row>
    <x:row r="133" ht="72.5" customHeight="1">
      <x:c r="A133" s="49" t="n">
        <x:v>64</x:v>
      </x:c>
      <x:c r="B133" s="50" t="str">
        <x:v>Grinroot</x:v>
      </x:c>
      <x:c r="C133" s="50" t="str">
        <x:v>Grinning herbalist</x:v>
      </x:c>
      <x:c r="D133" s="50" t="str">
        <x:v>Front/middle</x:v>
      </x:c>
      <x:c r="E133" s="50" t="str">
        <x:v>INT/MATK &gt; HP &gt; enough HIT/AGI</x:v>
      </x:c>
      <x:c r="F133" s="50" t="str">
        <x:v>Rootknuckle</x:v>
      </x:c>
      <x:c r="G133" s="50" t="str">
        <x:v>Basic Heal</x:v>
      </x:c>
      <x:c r="H133" s="50" t="str">
        <x:v>Wildroot Remedy</x:v>
      </x:c>
      <x:c r="I133" s="50" t="str">
        <x:v>Take the stat-split cost to become a frontline-capable healer. Rootknuckle supplies Sprouts, but removing Grinning Guard saves them for the large remedy.</x:v>
      </x:c>
    </x:row>
    <x:row r="134" ht="72.5" customHeight="1">
      <x:c r="A134" s="49" t="n">
        <x:v>65</x:v>
      </x:c>
      <x:c r="B134" s="50" t="str">
        <x:v>Cloudfin</x:v>
      </x:c>
      <x:c r="C134" s="50" t="str">
        <x:v>Burst-window medic</x:v>
      </x:c>
      <x:c r="D134" s="50" t="str">
        <x:v>Back</x:v>
      </x:c>
      <x:c r="E134" s="50" t="str">
        <x:v>INT/MATK &gt; HP</x:v>
      </x:c>
      <x:c r="F134" s="50" t="str">
        <x:v>Bubble Sip</x:v>
      </x:c>
      <x:c r="G134" s="50" t="str">
        <x:v>Release the Air</x:v>
      </x:c>
      <x:c r="H134" s="50" t="str">
        <x:v>Greater Heal</x:v>
      </x:c>
      <x:c r="I134" s="50" t="str">
        <x:v>Use against a large opening hit. Air Pocket creates a short chance for automatic healing; it does not erase the stored damage or revive a dead trainer.</x:v>
      </x:c>
    </x:row>
    <x:row r="135" ht="60" customHeight="1">
      <x:c r="A135" s="49" t="n">
        <x:v>65</x:v>
      </x:c>
      <x:c r="B135" s="50" t="str">
        <x:v>Cloudfin</x:v>
      </x:c>
      <x:c r="C135" s="50" t="str">
        <x:v>Team air cushion</x:v>
      </x:c>
      <x:c r="D135" s="50" t="str">
        <x:v>Middle/back</x:v>
      </x:c>
      <x:c r="E135" s="50" t="str">
        <x:v>INT/MATK &gt; HP/MDEF</x:v>
      </x:c>
      <x:c r="F135" s="50" t="str">
        <x:v>Bubble Sip</x:v>
      </x:c>
      <x:c r="G135" s="50" t="str">
        <x:v>Basic Heal</x:v>
      </x:c>
      <x:c r="H135" s="50" t="str">
        <x:v>Buoyant Choir</x:v>
      </x:c>
      <x:c r="I135" s="50" t="str">
        <x:v>Use the passive as opening insurance, then rely on team healing and wards for the rest of battle. Better when several allies take moderate damage.</x:v>
      </x:c>
    </x:row>
    <x:row r="136" ht="72.5" customHeight="1">
      <x:c r="A136" s="49" t="n">
        <x:v>66</x:v>
      </x:c>
      <x:c r="B136" s="50" t="str">
        <x:v>Hexurchin</x:v>
      </x:c>
      <x:c r="C136" s="50" t="str">
        <x:v>Facet wall</x:v>
      </x:c>
      <x:c r="D136" s="50" t="str">
        <x:v>Front</x:v>
      </x:c>
      <x:c r="E136" s="50" t="str">
        <x:v>HP/VIT &gt; STR/ATK &gt; DEF</x:v>
      </x:c>
      <x:c r="F136" s="50" t="str">
        <x:v>Brace</x:v>
      </x:c>
      <x:c r="G136" s="50" t="str">
        <x:v>Lock the Facets</x:v>
      </x:c>
      <x:c r="H136" s="50" t="str">
        <x:v>Fortify</x:v>
      </x:c>
      <x:c r="I136" s="50" t="str">
        <x:v>Counter fast physical multi-hit teams. Some STR matters because the flat plate value scales from ATK, but the per-hit cap prevents trivializing weak attacks.</x:v>
      </x:c>
    </x:row>
    <x:row r="137" ht="72.5" customHeight="1">
      <x:c r="A137" s="49" t="n">
        <x:v>66</x:v>
      </x:c>
      <x:c r="B137" s="50" t="str">
        <x:v>Hexurchin</x:v>
      </x:c>
      <x:c r="C137" s="50" t="str">
        <x:v>Spined bodyguard</x:v>
      </x:c>
      <x:c r="D137" s="50" t="str">
        <x:v>Front</x:v>
      </x:c>
      <x:c r="E137" s="50" t="str">
        <x:v>STR/ATK &gt; HP &gt; MDEF</x:v>
      </x:c>
      <x:c r="F137" s="50" t="str">
        <x:v>Hexaspine</x:v>
      </x:c>
      <x:c r="G137" s="50" t="str">
        <x:v>Lock the Facets</x:v>
      </x:c>
      <x:c r="H137" s="50" t="str">
        <x:v>Urchin Bastion</x:v>
      </x:c>
      <x:c r="I137" s="50" t="str">
        <x:v>Use the offensive stat to improve both pressure and plate reduction, then cover the trainer. Transferred damage does not receive the plate reduction a second time.</x:v>
      </x:c>
    </x:row>
    <x:row r="138" ht="60" customHeight="1">
      <x:c r="A138" s="49" t="n">
        <x:v>67</x:v>
      </x:c>
      <x:c r="B138" s="50" t="str">
        <x:v>Dewloop</x:v>
      </x:c>
      <x:c r="C138" s="50" t="str">
        <x:v>Circulating triage</x:v>
      </x:c>
      <x:c r="D138" s="50" t="str">
        <x:v>Back</x:v>
      </x:c>
      <x:c r="E138" s="50" t="str">
        <x:v>INT/MATK &gt; HP</x:v>
      </x:c>
      <x:c r="F138" s="50" t="str">
        <x:v>Droplet Stitch</x:v>
      </x:c>
      <x:c r="G138" s="50" t="str">
        <x:v>Ring of Return</x:v>
      </x:c>
      <x:c r="H138" s="50" t="str">
        <x:v>Return to Source</x:v>
      </x:c>
      <x:c r="I138" s="50" t="str">
        <x:v>Use when both front allies take damage: healing the most injured also protects the other. The passive does not create additional heal chains.</x:v>
      </x:c>
    </x:row>
    <x:row r="139" ht="60" customHeight="1">
      <x:c r="A139" s="49" t="n">
        <x:v>67</x:v>
      </x:c>
      <x:c r="B139" s="50" t="str">
        <x:v>Dewloop</x:v>
      </x:c>
      <x:c r="C139" s="50" t="str">
        <x:v>Dew-powered aide</x:v>
      </x:c>
      <x:c r="D139" s="50" t="str">
        <x:v>Middle/back</x:v>
      </x:c>
      <x:c r="E139" s="50" t="str">
        <x:v>INT/MATK &gt; HP/MDEF</x:v>
      </x:c>
      <x:c r="F139" s="50" t="str">
        <x:v>Quick Strike</x:v>
      </x:c>
      <x:c r="G139" s="50" t="str">
        <x:v>Ring of Return</x:v>
      </x:c>
      <x:c r="H139" s="50" t="str">
        <x:v>Rally</x:v>
      </x:c>
      <x:c r="I139" s="50" t="str">
        <x:v>Keep one strong single-target heal to produce a secondary ward while using other slots for damage and carry support. Works with a druid trainer.</x:v>
      </x:c>
    </x:row>
    <x:row r="140" ht="60" customHeight="1">
      <x:c r="A140" s="49" t="n">
        <x:v>68</x:v>
      </x:c>
      <x:c r="B140" s="50" t="str">
        <x:v>Driftjelly</x:v>
      </x:c>
      <x:c r="C140" s="50" t="str">
        <x:v>Numbing caster</x:v>
      </x:c>
      <x:c r="D140" s="50" t="str">
        <x:v>Back</x:v>
      </x:c>
      <x:c r="E140" s="50" t="str">
        <x:v>INT/MATK &gt; HP</x:v>
      </x:c>
      <x:c r="F140" s="50" t="str">
        <x:v>Nettle Ribbon</x:v>
      </x:c>
      <x:c r="G140" s="50" t="str">
        <x:v>Focused Attack</x:v>
      </x:c>
      <x:c r="H140" s="50" t="str">
        <x:v>Deep Sting</x:v>
      </x:c>
      <x:c r="I140" s="50" t="str">
        <x:v>Apply anti-crit pressure while dealing normal magical damage. Particularly relevant against a crit-focused exposed front monster.</x:v>
      </x:c>
    </x:row>
    <x:row r="141" ht="72.5" customHeight="1">
      <x:c r="A141" s="49" t="n">
        <x:v>68</x:v>
      </x:c>
      <x:c r="B141" s="50" t="str">
        <x:v>Driftjelly</x:v>
      </x:c>
      <x:c r="C141" s="50" t="str">
        <x:v>Jelly umbrella</x:v>
      </x:c>
      <x:c r="D141" s="50" t="str">
        <x:v>Middle/back</x:v>
      </x:c>
      <x:c r="E141" s="50" t="str">
        <x:v>INT/MATK &gt; HP/MDEF</x:v>
      </x:c>
      <x:c r="F141" s="50" t="str">
        <x:v>Nettle Ribbon</x:v>
      </x:c>
      <x:c r="G141" s="50" t="str">
        <x:v>Jelly Veil</x:v>
      </x:c>
      <x:c r="H141" s="50" t="str">
        <x:v>Greater Heal</x:v>
      </x:c>
      <x:c r="I141" s="50" t="str">
        <x:v>Cover a frontline knight against bursty physical attackers. Trade the large damage signature for recovery while the fast spell keeps Numb active.</x:v>
      </x:c>
    </x:row>
    <x:row r="142" ht="60" customHeight="1">
      <x:c r="A142" s="49" t="n">
        <x:v>69</x:v>
      </x:c>
      <x:c r="B142" s="50" t="str">
        <x:v>Snapglass</x:v>
      </x:c>
      <x:c r="C142" s="50" t="str">
        <x:v>One-claw cannon</x:v>
      </x:c>
      <x:c r="D142" s="50" t="str">
        <x:v>Front with protection</x:v>
      </x:c>
      <x:c r="E142" s="50" t="str">
        <x:v>STR/ATK &gt; CRIT/LUK &gt; HIT</x:v>
      </x:c>
      <x:c r="F142" s="50" t="str">
        <x:v>Prism Snap</x:v>
      </x:c>
      <x:c r="G142" s="50" t="str">
        <x:v>Claw Cock</x:v>
      </x:c>
      <x:c r="H142" s="50" t="str">
        <x:v>Glass-Cracking Report</x:v>
      </x:c>
      <x:c r="I142" s="50" t="str">
        <x:v>Build strong individual impacts, using accuracy to avoid wasting them. Pair with a tank and a trainer who can capitalize on the armor crack.</x:v>
      </x:c>
    </x:row>
    <x:row r="143" ht="72.5" customHeight="1">
      <x:c r="A143" s="49" t="n">
        <x:v>69</x:v>
      </x:c>
      <x:c r="B143" s="50" t="str">
        <x:v>Snapglass</x:v>
      </x:c>
      <x:c r="C143" s="50" t="str">
        <x:v>Repeated hammer</x:v>
      </x:c>
      <x:c r="D143" s="50" t="str">
        <x:v>Front</x:v>
      </x:c>
      <x:c r="E143" s="50" t="str">
        <x:v>STR/ATK &gt; AGI &gt; HP</x:v>
      </x:c>
      <x:c r="F143" s="50" t="str">
        <x:v>Prism Snap</x:v>
      </x:c>
      <x:c r="G143" s="50" t="str">
        <x:v>Battle Rhythm</x:v>
      </x:c>
      <x:c r="H143" s="50" t="str">
        <x:v>Fortify</x:v>
      </x:c>
      <x:c r="I143" s="50" t="str">
        <x:v>Offset part of the slower basic interval and trade the large nuke for durability. This is a sustained heavy-hitter rather than an on-hit proc swarm.</x:v>
      </x:c>
    </x:row>
    <x:row r="144" ht="72.5" customHeight="1">
      <x:c r="A144" s="49" t="n">
        <x:v>70</x:v>
      </x:c>
      <x:c r="B144" s="50" t="str">
        <x:v>Kiteskulk</x:v>
      </x:c>
      <x:c r="C144" s="50" t="str">
        <x:v>Healing creditor</x:v>
      </x:c>
      <x:c r="D144" s="50" t="str">
        <x:v>Back</x:v>
      </x:c>
      <x:c r="E144" s="50" t="str">
        <x:v>INT/MATK &gt; HP</x:v>
      </x:c>
      <x:c r="F144" s="50" t="str">
        <x:v>Shroud Needle</x:v>
      </x:c>
      <x:c r="G144" s="50" t="str">
        <x:v>Funeral Fold</x:v>
      </x:c>
      <x:c r="H144" s="50" t="str">
        <x:v>Debt Collector</x:v>
      </x:c>
      <x:c r="I144" s="50" t="str">
        <x:v>Pressure a self-healing tank: healing partly refuels the next attack, while the middle skill limits its recovery. The basic damage kit works before any healing occurs.</x:v>
      </x:c>
    </x:row>
    <x:row r="145" ht="72.5" customHeight="1">
      <x:c r="A145" s="49" t="n">
        <x:v>70</x:v>
      </x:c>
      <x:c r="B145" s="50" t="str">
        <x:v>Kiteskulk</x:v>
      </x:c>
      <x:c r="C145" s="50" t="str">
        <x:v>Patient collector</x:v>
      </x:c>
      <x:c r="D145" s="50" t="str">
        <x:v>Middle/back</x:v>
      </x:c>
      <x:c r="E145" s="50" t="str">
        <x:v>INT/MATK &gt; HP/MDEF</x:v>
      </x:c>
      <x:c r="F145" s="50" t="str">
        <x:v>Basic Ward</x:v>
      </x:c>
      <x:c r="G145" s="50" t="str">
        <x:v>Basic Heal</x:v>
      </x:c>
      <x:c r="H145" s="50" t="str">
        <x:v>Debt Collector</x:v>
      </x:c>
      <x:c r="I145" s="50" t="str">
        <x:v>Remove the smaller Haunt-spending attacks so the large signature gets the bank. Contribute support during the cooldown instead of forcing constant damage casts.</x:v>
      </x:c>
    </x:row>
    <x:row r="146" ht="72.5" customHeight="1">
      <x:c r="A146" s="49" t="n">
        <x:v>71</x:v>
      </x:c>
      <x:c r="B146" s="50" t="str">
        <x:v>Lotusmanta</x:v>
      </x:c>
      <x:c r="C146" s="50" t="str">
        <x:v>Anti-splash sanctuary</x:v>
      </x:c>
      <x:c r="D146" s="50" t="str">
        <x:v>Back</x:v>
      </x:c>
      <x:c r="E146" s="50" t="str">
        <x:v>INT/MATK &gt; HP</x:v>
      </x:c>
      <x:c r="F146" s="50" t="str">
        <x:v>Petal Sip</x:v>
      </x:c>
      <x:c r="G146" s="50" t="str">
        <x:v>Layered Petals</x:v>
      </x:c>
      <x:c r="H146" s="50" t="str">
        <x:v>Serene Tide</x:v>
      </x:c>
      <x:c r="I146" s="50" t="str">
        <x:v>Choose into enemies whose splash threatens a protected trainer. It reduces secondary pressure without making the frontline tank immune to the main attack.</x:v>
      </x:c>
    </x:row>
    <x:row r="147" ht="72.5" customHeight="1">
      <x:c r="A147" s="49" t="n">
        <x:v>71</x:v>
      </x:c>
      <x:c r="B147" s="50" t="str">
        <x:v>Lotusmanta</x:v>
      </x:c>
      <x:c r="C147" s="50" t="str">
        <x:v>Quiet lotus medic</x:v>
      </x:c>
      <x:c r="D147" s="50" t="str">
        <x:v>Middle/back</x:v>
      </x:c>
      <x:c r="E147" s="50" t="str">
        <x:v>INT/MATK &gt; HP/MDEF</x:v>
      </x:c>
      <x:c r="F147" s="50" t="str">
        <x:v>Petal Sip</x:v>
      </x:c>
      <x:c r="G147" s="50" t="str">
        <x:v>Basic Heal</x:v>
      </x:c>
      <x:c r="H147" s="50" t="str">
        <x:v>Serene Tide</x:v>
      </x:c>
      <x:c r="I147" s="50" t="str">
        <x:v>Replace the multi-ally ward with stronger single-target recovery when only the tank is heavily focused. The splash passive remains background trainer insurance.</x:v>
      </x:c>
    </x:row>
    <x:row r="148" ht="60" customHeight="1">
      <x:c r="A148" s="49" t="n">
        <x:v>72</x:v>
      </x:c>
      <x:c r="B148" s="50" t="str">
        <x:v>Mistmelt</x:v>
      </x:c>
      <x:c r="C148" s="50" t="str">
        <x:v>Mist bruiser</x:v>
      </x:c>
      <x:c r="D148" s="50" t="str">
        <x:v>Front</x:v>
      </x:c>
      <x:c r="E148" s="50" t="str">
        <x:v>STR/ATK &gt; HP &gt; HIT</x:v>
      </x:c>
      <x:c r="F148" s="50" t="str">
        <x:v>Mistfist</x:v>
      </x:c>
      <x:c r="G148" s="50" t="str">
        <x:v>Focused Attack</x:v>
      </x:c>
      <x:c r="H148" s="50" t="str">
        <x:v>Condensed Blow</x:v>
      </x:c>
      <x:c r="I148" s="50" t="str">
        <x:v>Use against physical frontliners and keep a damage-heavy trainer behind it. The resistance bonus supports offense-oriented gearing.</x:v>
      </x:c>
    </x:row>
    <x:row r="149" ht="60" customHeight="1">
      <x:c r="A149" s="49" t="n">
        <x:v>72</x:v>
      </x:c>
      <x:c r="B149" s="50" t="str">
        <x:v>Mistmelt</x:v>
      </x:c>
      <x:c r="C149" s="50" t="str">
        <x:v>Sealed mist wall</x:v>
      </x:c>
      <x:c r="D149" s="50" t="str">
        <x:v>Front</x:v>
      </x:c>
      <x:c r="E149" s="50" t="str">
        <x:v>HP/VIT &gt; MDEF &gt; STR/ATK</x:v>
      </x:c>
      <x:c r="F149" s="50" t="str">
        <x:v>Brace</x:v>
      </x:c>
      <x:c r="G149" s="50" t="str">
        <x:v>Close the Hollow</x:v>
      </x:c>
      <x:c r="H149" s="50" t="str">
        <x:v>Fortify</x:v>
      </x:c>
      <x:c r="I149" s="50" t="str">
        <x:v>Use shields and MDEF to address the explicit magic weakness. This is a defensive alternative, not a reason to ignore matchup selection.</x:v>
      </x:c>
    </x:row>
    <x:row r="150" ht="72.5" customHeight="1">
      <x:c r="A150" s="49" t="n">
        <x:v>73</x:v>
      </x:c>
      <x:c r="B150" s="50" t="str">
        <x:v>Cairnclamp</x:v>
      </x:c>
      <x:c r="C150" s="50" t="str">
        <x:v>Trainer's wrestler</x:v>
      </x:c>
      <x:c r="D150" s="50" t="str">
        <x:v>Front</x:v>
      </x:c>
      <x:c r="E150" s="50" t="str">
        <x:v>HP/VIT &gt; STR/ATK &gt; HIT/DEF</x:v>
      </x:c>
      <x:c r="F150" s="50" t="str">
        <x:v>Arch-Arm Clamp</x:v>
      </x:c>
      <x:c r="G150" s="50" t="str">
        <x:v>Two-Handed Hold</x:v>
      </x:c>
      <x:c r="H150" s="50" t="str">
        <x:v>Fortify</x:v>
      </x:c>
      <x:c r="I150" s="50" t="str">
        <x:v>Grip limits damage that leaks onto a knight or exposed trainer; the taunt handles reachable attackers. Keep enough HIT to maintain the protective mark.</x:v>
      </x:c>
    </x:row>
    <x:row r="151" ht="72.5" customHeight="1">
      <x:c r="A151" s="49" t="n">
        <x:v>73</x:v>
      </x:c>
      <x:c r="B151" s="50" t="str">
        <x:v>Cairnclamp</x:v>
      </x:c>
      <x:c r="C151" s="50" t="str">
        <x:v>Stone crusher</x:v>
      </x:c>
      <x:c r="D151" s="50" t="str">
        <x:v>Front</x:v>
      </x:c>
      <x:c r="E151" s="50" t="str">
        <x:v>STR/ATK &gt; HP &gt; HIT</x:v>
      </x:c>
      <x:c r="F151" s="50" t="str">
        <x:v>Arch-Arm Clamp</x:v>
      </x:c>
      <x:c r="G151" s="50" t="str">
        <x:v>Focused Attack</x:v>
      </x:c>
      <x:c r="H151" s="50" t="str">
        <x:v>Shale Press</x:v>
      </x:c>
      <x:c r="I151" s="50" t="str">
        <x:v>Use the natural tank stats to add a capped amount of damage to the heavy press. Pair with a druid or independent protector rather than relying on repeated taunts.</x:v>
      </x:c>
    </x:row>
    <x:row r="152" ht="60" customHeight="1">
      <x:c r="A152" s="49" t="n">
        <x:v>74</x:v>
      </x:c>
      <x:c r="B152" s="50" t="str">
        <x:v>Tideotter</x:v>
      </x:c>
      <x:c r="C152" s="50" t="str">
        <x:v>Paddle-fist escort</x:v>
      </x:c>
      <x:c r="D152" s="50" t="str">
        <x:v>Front</x:v>
      </x:c>
      <x:c r="E152" s="50" t="str">
        <x:v>STR/ATK &gt; AGI &gt; HP</x:v>
      </x:c>
      <x:c r="F152" s="50" t="str">
        <x:v>Paddle Combination</x:v>
      </x:c>
      <x:c r="G152" s="50" t="str">
        <x:v>Tailbreak Guard</x:v>
      </x:c>
      <x:c r="H152" s="50" t="str">
        <x:v>Fortify</x:v>
      </x:c>
      <x:c r="I152" s="50" t="str">
        <x:v>Use Droplets as extra physical damage while the ATK/HP-based guard protects a knight. Do not invest in MATK for this version.</x:v>
      </x:c>
    </x:row>
    <x:row r="153" ht="72.5" customHeight="1">
      <x:c r="A153" s="49" t="n">
        <x:v>74</x:v>
      </x:c>
      <x:c r="B153" s="50" t="str">
        <x:v>Tideotter</x:v>
      </x:c>
      <x:c r="C153" s="50" t="str">
        <x:v>River medic</x:v>
      </x:c>
      <x:c r="D153" s="50" t="str">
        <x:v>Front/middle</x:v>
      </x:c>
      <x:c r="E153" s="50" t="str">
        <x:v>INT/MATK &gt; HP &gt; enough HIT/AGI</x:v>
      </x:c>
      <x:c r="F153" s="50" t="str">
        <x:v>Brace</x:v>
      </x:c>
      <x:c r="G153" s="50" t="str">
        <x:v>Basic Heal</x:v>
      </x:c>
      <x:c r="H153" s="50" t="str">
        <x:v>Restorative Current</x:v>
      </x:c>
      <x:c r="I153" s="50" t="str">
        <x:v>Removing Paddle Combination reserves Droplets from ordinary basics for healing. The build accepts weaker physical output in exchange for a durable cleansing medic.</x:v>
      </x:c>
    </x:row>
    <x:row r="154" ht="60" customHeight="1">
      <x:c r="A154" s="49" t="n">
        <x:v>75</x:v>
      </x:c>
      <x:c r="B154" s="50" t="str">
        <x:v>Veilora</x:v>
      </x:c>
      <x:c r="C154" s="50" t="str">
        <x:v>Wardbreaker witness</x:v>
      </x:c>
      <x:c r="D154" s="50" t="str">
        <x:v>Back</x:v>
      </x:c>
      <x:c r="E154" s="50" t="str">
        <x:v>INT/MATK &gt; HP</x:v>
      </x:c>
      <x:c r="F154" s="50" t="str">
        <x:v>Veil Needle</x:v>
      </x:c>
      <x:c r="G154" s="50" t="str">
        <x:v>Gentle Shroud</x:v>
      </x:c>
      <x:c r="H154" s="50" t="str">
        <x:v>Unraveling Mercy</x:v>
      </x:c>
      <x:c r="I154" s="50" t="str">
        <x:v>Pair with a shield tank. When enemies break the wards, the veil converts that setback into a small damage response while restoring an ally.</x:v>
      </x:c>
    </x:row>
    <x:row r="155" ht="60" customHeight="1">
      <x:c r="A155" s="49" t="n">
        <x:v>75</x:v>
      </x:c>
      <x:c r="B155" s="50" t="str">
        <x:v>Veilora</x:v>
      </x:c>
      <x:c r="C155" s="50" t="str">
        <x:v>Tender veil</x:v>
      </x:c>
      <x:c r="D155" s="50" t="str">
        <x:v>Middle/back</x:v>
      </x:c>
      <x:c r="E155" s="50" t="str">
        <x:v>INT/MATK &gt; HP/MDEF</x:v>
      </x:c>
      <x:c r="F155" s="50" t="str">
        <x:v>Basic Ward</x:v>
      </x:c>
      <x:c r="G155" s="50" t="str">
        <x:v>Gentle Shroud</x:v>
      </x:c>
      <x:c r="H155" s="50" t="str">
        <x:v>Unraveling Mercy</x:v>
      </x:c>
      <x:c r="I155" s="50" t="str">
        <x:v>Reserve Threads for the larger attack/heal cast by removing the small nuke. Extra wards support the trainer and provide natural future triggers.</x:v>
      </x:c>
    </x:row>
    <x:row r="156" ht="60" customHeight="1">
      <x:c r="A156" s="49" t="n">
        <x:v>76</x:v>
      </x:c>
      <x:c r="B156" s="50" t="str">
        <x:v>Ashbasilisk</x:v>
      </x:c>
      <x:c r="C156" s="50" t="str">
        <x:v>Petrifying predator</x:v>
      </x:c>
      <x:c r="D156" s="50" t="str">
        <x:v>Front with cover</x:v>
      </x:c>
      <x:c r="E156" s="50" t="str">
        <x:v>STR/ATK &gt; CRIT/LUK &gt; HIT</x:v>
      </x:c>
      <x:c r="F156" s="50" t="str">
        <x:v>Ashfang</x:v>
      </x:c>
      <x:c r="G156" s="50" t="str">
        <x:v>Stone-Eye Glare</x:v>
      </x:c>
      <x:c r="H156" s="50" t="str">
        <x:v>Basalt Finish</x:v>
      </x:c>
      <x:c r="I156" s="50" t="str">
        <x:v>Use the glare or a crit to establish Calcify and support a physical focus-fire team. The heavy attack benefits even without high crit investment.</x:v>
      </x:c>
    </x:row>
    <x:row r="157" ht="60" customHeight="1">
      <x:c r="A157" s="49" t="n">
        <x:v>76</x:v>
      </x:c>
      <x:c r="B157" s="50" t="str">
        <x:v>Ashbasilisk</x:v>
      </x:c>
      <x:c r="C157" s="50" t="str">
        <x:v>Ash duelist</x:v>
      </x:c>
      <x:c r="D157" s="50" t="str">
        <x:v>Front</x:v>
      </x:c>
      <x:c r="E157" s="50" t="str">
        <x:v>STR/ATK &gt; HP &gt; HIT</x:v>
      </x:c>
      <x:c r="F157" s="50" t="str">
        <x:v>Ashfang</x:v>
      </x:c>
      <x:c r="G157" s="50" t="str">
        <x:v>Stone-Eye Glare</x:v>
      </x:c>
      <x:c r="H157" s="50" t="str">
        <x:v>Fortify</x:v>
      </x:c>
      <x:c r="I157" s="50" t="str">
        <x:v>Keep the reliable accuracy debuff and brief interrupt but trade the finisher for a shield. Useful when the trainer supplies enough damage already.</x:v>
      </x:c>
    </x:row>
    <x:row r="158" ht="60" customHeight="1">
      <x:c r="A158" s="49" t="n">
        <x:v>77</x:v>
      </x:c>
      <x:c r="B158" s="50" t="str">
        <x:v>Slagbud</x:v>
      </x:c>
      <x:c r="C158" s="50" t="str">
        <x:v>Attrition succulent</x:v>
      </x:c>
      <x:c r="D158" s="50" t="str">
        <x:v>Front</x:v>
      </x:c>
      <x:c r="E158" s="50" t="str">
        <x:v>HP/VIT &gt; DEF/MDEF &gt; STR/ATK</x:v>
      </x:c>
      <x:c r="F158" s="50" t="str">
        <x:v>Brace</x:v>
      </x:c>
      <x:c r="G158" s="50" t="str">
        <x:v>Stone Sap</x:v>
      </x:c>
      <x:c r="H158" s="50" t="str">
        <x:v>Fortify</x:v>
      </x:c>
      <x:c r="I158" s="50" t="str">
        <x:v>Counter DoT-heavy opponents with controlled prevention and self-repair. A physical or magical carry handles damage.</x:v>
      </x:c>
    </x:row>
    <x:row r="159" ht="72.5" customHeight="1">
      <x:c r="A159" s="49" t="n">
        <x:v>77</x:v>
      </x:c>
      <x:c r="B159" s="50" t="str">
        <x:v>Slagbud</x:v>
      </x:c>
      <x:c r="C159" s="50" t="str">
        <x:v>Thorny shelter</x:v>
      </x:c>
      <x:c r="D159" s="50" t="str">
        <x:v>Front</x:v>
      </x:c>
      <x:c r="E159" s="50" t="str">
        <x:v>HP/VIT &gt; STR/ATK &gt; HIT</x:v>
      </x:c>
      <x:c r="F159" s="50" t="str">
        <x:v>Basalt Thorn</x:v>
      </x:c>
      <x:c r="G159" s="50" t="str">
        <x:v>Stone Sap</x:v>
      </x:c>
      <x:c r="H159" s="50" t="str">
        <x:v>Leafslab Shelter</x:v>
      </x:c>
      <x:c r="I159" s="50" t="str">
        <x:v>Use anti-heal pressure while protecting a melee trainer. Some ATK makes the thorn relevant without turning this into a damage-specialist species.</x:v>
      </x:c>
    </x:row>
    <x:row r="160" ht="110" customHeight="1">
      <x:c r="A160" s="49" t="n">
        <x:v>78</x:v>
      </x:c>
      <x:c r="B160" s="50" t="str">
        <x:v>Cinderempress</x:v>
      </x:c>
      <x:c r="C160" s="50" t="str">
        <x:v>Ember court</x:v>
      </x:c>
      <x:c r="D160" s="50" t="str">
        <x:v>Front with a healer or protective second monster</x:v>
      </x:c>
      <x:c r="E160" s="50" t="str">
        <x:v>INT/MATK &gt; HP &gt; DEF/MDEF</x:v>
      </x:c>
      <x:c r="F160" s="50" t="str">
        <x:v>Royal Cinder</x:v>
      </x:c>
      <x:c r="G160" s="50" t="str">
        <x:v>Focused Attack</x:v>
      </x:c>
      <x:c r="H160" s="50" t="str">
        <x:v>Imperial Hearth</x:v>
      </x:c>
      <x:c r="I160" s="50" t="str">
        <x:v>Pressure a boss where the duel begins. Direct actives build Heat and the next hearth snapshot benefits from existing stacks; do not assume the first deployment is fully stacked. Against clustered enemies, the fixed court adds capped area damage without chasing them.</x:v>
      </x:c>
    </x:row>
    <x:row r="161" ht="85" customHeight="1">
      <x:c r="A161" s="49" t="n">
        <x:v>78</x:v>
      </x:c>
      <x:c r="B161" s="50" t="str">
        <x:v>Cinderempress</x:v>
      </x:c>
      <x:c r="C161" s="50" t="str">
        <x:v>Armored sovereign</x:v>
      </x:c>
      <x:c r="D161" s="50" t="str">
        <x:v>Front beside the knight or ahead of a ranged trainer</x:v>
      </x:c>
      <x:c r="E161" s="50" t="str">
        <x:v>HP/VIT &gt; INT/MATK &gt; DEF/MDEF</x:v>
      </x:c>
      <x:c r="F161" s="50" t="str">
        <x:v>Royal Cinder</x:v>
      </x:c>
      <x:c r="G161" s="50" t="str">
        <x:v>Pleated Mantle</x:v>
      </x:c>
      <x:c r="H161" s="50" t="str">
        <x:v>Imperial Hearth</x:v>
      </x:c>
      <x:c r="I161" s="50" t="str">
        <x:v>Trade Focused Attack for shielding and combine it with the hearth's personal protection. Damage still scales only from MATK. This is a durable area fighter, not a pet class or an ATK/MATK hybrid.</x:v>
      </x:c>
    </x:row>
    <x:row r="162" ht="110" customHeight="1">
      <x:c r="A162" s="49" t="n">
        <x:v>79</x:v>
      </x:c>
      <x:c r="B162" s="50" t="str">
        <x:v>Ashskate</x:v>
      </x:c>
      <x:c r="C162" s="50" t="str">
        <x:v>Sequential spark</x:v>
      </x:c>
      <x:c r="D162" s="50" t="str">
        <x:v>Back</x:v>
      </x:c>
      <x:c r="E162" s="50" t="str">
        <x:v>INT/MATK &gt; HP</x:v>
      </x:c>
      <x:c r="F162" s="50" t="str">
        <x:v>Ash Arc</x:v>
      </x:c>
      <x:c r="G162" s="50" t="str">
        <x:v>Scorchline</x:v>
      </x:c>
      <x:c r="H162" s="50" t="str">
        <x:v>Bladefoot Flare</x:v>
      </x:c>
      <x:c r="I162" s="50" t="str">
        <x:v>Against groups, mark the current enemy and carry bounded pressure through its death; the shared refund lockout prevents a pack dying simultaneously from resetting every attack. Against a boss, personal damaging casts earn smaller refunds and Scorchline expires for modest same-target damage.</x:v>
      </x:c>
    </x:row>
    <x:row r="163" ht="85" customHeight="1">
      <x:c r="A163" s="49" t="n">
        <x:v>79</x:v>
      </x:c>
      <x:c r="B163" s="50" t="str">
        <x:v>Ashskate</x:v>
      </x:c>
      <x:c r="C163" s="50" t="str">
        <x:v>Ash reserve</x:v>
      </x:c>
      <x:c r="D163" s="50" t="str">
        <x:v>Middle/back</x:v>
      </x:c>
      <x:c r="E163" s="50" t="str">
        <x:v>INT/MATK &gt; HP/MDEF</x:v>
      </x:c>
      <x:c r="F163" s="50" t="str">
        <x:v>Ash Arc</x:v>
      </x:c>
      <x:c r="G163" s="50" t="str">
        <x:v>Basic Heal</x:v>
      </x:c>
      <x:c r="H163" s="50" t="str">
        <x:v>Fortify</x:v>
      </x:c>
      <x:c r="I163" s="50" t="str">
        <x:v>Use Ash Arc as the repeated personal damage source while other slots protect the trainer and self. Spark generation is slower than in the three-damage build, but it does not require enemy deaths.</x:v>
      </x:c>
    </x:row>
    <x:row r="164" ht="60" customHeight="1">
      <x:c r="A164" s="49" t="n">
        <x:v>80</x:v>
      </x:c>
      <x:c r="B164" s="50" t="str">
        <x:v>Ribwhirl</x:v>
      </x:c>
      <x:c r="C164" s="50" t="str">
        <x:v>Bonewheel striker</x:v>
      </x:c>
      <x:c r="D164" s="50" t="str">
        <x:v>Front</x:v>
      </x:c>
      <x:c r="E164" s="50" t="str">
        <x:v>INT/MATK &gt; AGI &gt; HP</x:v>
      </x:c>
      <x:c r="F164" s="50" t="str">
        <x:v>Spinal Spin</x:v>
      </x:c>
      <x:c r="G164" s="50" t="str">
        <x:v>Battle Rhythm</x:v>
      </x:c>
      <x:c r="H164" s="50" t="str">
        <x:v>Rib Cascade</x:v>
      </x:c>
      <x:c r="I164" s="50" t="str">
        <x:v>Use faster basic cycles to receive regular small wards and enable the large cast's shield condition. Pair with a healer.</x:v>
      </x:c>
    </x:row>
    <x:row r="165" ht="72.5" customHeight="1">
      <x:c r="A165" s="49" t="n">
        <x:v>80</x:v>
      </x:c>
      <x:c r="B165" s="50" t="str">
        <x:v>Ribwhirl</x:v>
      </x:c>
      <x:c r="C165" s="50" t="str">
        <x:v>Ribbed bulwark</x:v>
      </x:c>
      <x:c r="D165" s="50" t="str">
        <x:v>Front</x:v>
      </x:c>
      <x:c r="E165" s="50" t="str">
        <x:v>HP/VIT &gt; INT/MATK &gt; DEF/MDEF</x:v>
      </x:c>
      <x:c r="F165" s="50" t="str">
        <x:v>Brace</x:v>
      </x:c>
      <x:c r="G165" s="50" t="str">
        <x:v>Brace the Ribs</x:v>
      </x:c>
      <x:c r="H165" s="50" t="str">
        <x:v>Fortify</x:v>
      </x:c>
      <x:c r="I165" s="50" t="str">
        <x:v>Use defensive actives while alternating magical basics supply damage. More frequent Rib cycles protect the creature without creating extra units or movement mechanics.</x:v>
      </x:c>
    </x:row>
    <x:row r="166" ht="72.5" customHeight="1">
      <x:c r="A166" s="49" t="n">
        <x:v>81</x:v>
      </x:c>
      <x:c r="B166" s="50" t="str">
        <x:v>Ferncoil</x:v>
      </x:c>
      <x:c r="C166" s="50" t="str">
        <x:v>Recoil striker</x:v>
      </x:c>
      <x:c r="D166" s="50" t="str">
        <x:v>Front with cover</x:v>
      </x:c>
      <x:c r="E166" s="50" t="str">
        <x:v>DEX/ATK &gt; AGI &gt; moderate HIT</x:v>
      </x:c>
      <x:c r="F166" s="50" t="str">
        <x:v>Coiled Whip</x:v>
      </x:c>
      <x:c r="G166" s="50" t="str">
        <x:v>Battle Rhythm</x:v>
      </x:c>
      <x:c r="H166" s="50" t="str">
        <x:v>Fully Unfurled</x:v>
      </x:c>
      <x:c r="I166" s="50" t="str">
        <x:v>Use into moderate evasion without relying on deliberately poor accuracy. Recoil cushions occasional misses while rapid basics spend the compensation.</x:v>
      </x:c>
    </x:row>
    <x:row r="167" ht="60" customHeight="1">
      <x:c r="A167" s="49" t="n">
        <x:v>81</x:v>
      </x:c>
      <x:c r="B167" s="50" t="str">
        <x:v>Ferncoil</x:v>
      </x:c>
      <x:c r="C167" s="50" t="str">
        <x:v>Fenced fern</x:v>
      </x:c>
      <x:c r="D167" s="50" t="str">
        <x:v>Front</x:v>
      </x:c>
      <x:c r="E167" s="50" t="str">
        <x:v>DEX/ATK &gt; HP &gt; AGI/FLEE</x:v>
      </x:c>
      <x:c r="F167" s="50" t="str">
        <x:v>Coiled Whip</x:v>
      </x:c>
      <x:c r="G167" s="50" t="str">
        <x:v>Frond Fence</x:v>
      </x:c>
      <x:c r="H167" s="50" t="str">
        <x:v>Fortify</x:v>
      </x:c>
      <x:c r="I167" s="50" t="str">
        <x:v>Use shield and FLEE to duel a physical frontliner. Frond Fence provides the recoil benefit even against targets that rarely evade.</x:v>
      </x:c>
    </x:row>
    <x:row r="168" ht="72.5" customHeight="1">
      <x:c r="A168" s="49" t="n">
        <x:v>82</x:v>
      </x:c>
      <x:c r="B168" s="50" t="str">
        <x:v>Ironback</x:v>
      </x:c>
      <x:c r="C168" s="50" t="str">
        <x:v>Iron escort</x:v>
      </x:c>
      <x:c r="D168" s="50" t="str">
        <x:v>Front</x:v>
      </x:c>
      <x:c r="E168" s="50" t="str">
        <x:v>HP/VIT &gt; DEF/MDEF</x:v>
      </x:c>
      <x:c r="F168" s="50" t="str">
        <x:v>Brace</x:v>
      </x:c>
      <x:c r="G168" s="50" t="str">
        <x:v>Interposing Plate</x:v>
      </x:c>
      <x:c r="H168" s="50" t="str">
        <x:v>Hold the Shell</x:v>
      </x:c>
      <x:c r="I168" s="50" t="str">
        <x:v>Protect a frontline knight or a trainer under pressure. The timed block handles direct attacks on Ironback; redirected damage is not blocked again.</x:v>
      </x:c>
    </x:row>
    <x:row r="169" ht="72.5" customHeight="1">
      <x:c r="A169" s="49" t="n">
        <x:v>82</x:v>
      </x:c>
      <x:c r="B169" s="50" t="str">
        <x:v>Ironback</x:v>
      </x:c>
      <x:c r="C169" s="50" t="str">
        <x:v>Counter-shell fighter</x:v>
      </x:c>
      <x:c r="D169" s="50" t="str">
        <x:v>Front</x:v>
      </x:c>
      <x:c r="E169" s="50" t="str">
        <x:v>STR/ATK &gt; HP &gt; HIT</x:v>
      </x:c>
      <x:c r="F169" s="50" t="str">
        <x:v>Shellknuckle</x:v>
      </x:c>
      <x:c r="G169" s="50" t="str">
        <x:v>Focused Attack</x:v>
      </x:c>
      <x:c r="H169" s="50" t="str">
        <x:v>Hold the Shell</x:v>
      </x:c>
      <x:c r="I169" s="50" t="str">
        <x:v>Use the frequent post-block bonus to contribute physical damage. Let another healer or the trainer handle recovery instead of taking the redirect slot.</x:v>
      </x:c>
    </x:row>
    <x:row r="170" ht="72.5" customHeight="1">
      <x:c r="A170" s="49" t="n">
        <x:v>83</x:v>
      </x:c>
      <x:c r="B170" s="50" t="str">
        <x:v>Moltencoil</x:v>
      </x:c>
      <x:c r="C170" s="50" t="str">
        <x:v>Ring-break duelist</x:v>
      </x:c>
      <x:c r="D170" s="50" t="str">
        <x:v>Front</x:v>
      </x:c>
      <x:c r="E170" s="50" t="str">
        <x:v>DEX/ATK &gt; HIT &gt; AGI</x:v>
      </x:c>
      <x:c r="F170" s="50" t="str">
        <x:v>Ringlash</x:v>
      </x:c>
      <x:c r="G170" s="50" t="str">
        <x:v>Shed the Slag</x:v>
      </x:c>
      <x:c r="H170" s="50" t="str">
        <x:v>Molten Constriction</x:v>
      </x:c>
      <x:c r="I170" s="50" t="str">
        <x:v>Use broken wards to produce reliable critical opportunities. HIT and ATK are more useful here than overinvesting in baseline crit that duplicates the guaranteed charge.</x:v>
      </x:c>
    </x:row>
    <x:row r="171" ht="72.5" customHeight="1">
      <x:c r="A171" s="49" t="n">
        <x:v>83</x:v>
      </x:c>
      <x:c r="B171" s="50" t="str">
        <x:v>Moltencoil</x:v>
      </x:c>
      <x:c r="C171" s="50" t="str">
        <x:v>Slag-ring survivor</x:v>
      </x:c>
      <x:c r="D171" s="50" t="str">
        <x:v>Front</x:v>
      </x:c>
      <x:c r="E171" s="50" t="str">
        <x:v>HP/VIT &gt; DEX/ATK &gt; DEF/MDEF</x:v>
      </x:c>
      <x:c r="F171" s="50" t="str">
        <x:v>Ringlash</x:v>
      </x:c>
      <x:c r="G171" s="50" t="str">
        <x:v>Shed the Slag</x:v>
      </x:c>
      <x:c r="H171" s="50" t="str">
        <x:v>Fortify</x:v>
      </x:c>
      <x:c r="I171" s="50" t="str">
        <x:v>Retain small offensive responses but favor survival beside a damage trainer. Larger shields reduce how often the passive fires while improving actual durability.</x:v>
      </x:c>
    </x:row>
    <x:row r="172" ht="72.5" customHeight="1">
      <x:c r="A172" s="49" t="n">
        <x:v>84</x:v>
      </x:c>
      <x:c r="B172" s="50" t="str">
        <x:v>Steamaxolotl</x:v>
      </x:c>
      <x:c r="C172" s="50" t="str">
        <x:v>Debuff specialist</x:v>
      </x:c>
      <x:c r="D172" s="50" t="str">
        <x:v>Back</x:v>
      </x:c>
      <x:c r="E172" s="50" t="str">
        <x:v>INT/MATK &gt; HP</x:v>
      </x:c>
      <x:c r="F172" s="50" t="str">
        <x:v>Steam Trickle</x:v>
      </x:c>
      <x:c r="G172" s="50" t="str">
        <x:v>Gillwash</x:v>
      </x:c>
      <x:c r="H172" s="50" t="str">
        <x:v>White-Steam Bath</x:v>
      </x:c>
      <x:c r="I172" s="50" t="str">
        <x:v>Counter healing reduction, silence, and DoTs. The extra shield appears only after a genuine removal, keeping cleanse spam from becoming unconditional shielding.</x:v>
      </x:c>
    </x:row>
    <x:row r="173" ht="72.5" customHeight="1">
      <x:c r="A173" s="49" t="n">
        <x:v>84</x:v>
      </x:c>
      <x:c r="B173" s="50" t="str">
        <x:v>Steamaxolotl</x:v>
      </x:c>
      <x:c r="C173" s="50" t="str">
        <x:v>Steam medic</x:v>
      </x:c>
      <x:c r="D173" s="50" t="str">
        <x:v>Middle/back</x:v>
      </x:c>
      <x:c r="E173" s="50" t="str">
        <x:v>INT/MATK &gt; HP/MDEF</x:v>
      </x:c>
      <x:c r="F173" s="50" t="str">
        <x:v>Steam Trickle</x:v>
      </x:c>
      <x:c r="G173" s="50" t="str">
        <x:v>Basic Heal</x:v>
      </x:c>
      <x:c r="H173" s="50" t="str">
        <x:v>White-Steam Bath</x:v>
      </x:c>
      <x:c r="I173" s="50" t="str">
        <x:v>Choose when debuffs are occasional rather than constant. Keep a team cleanse as insurance, but use the middle slot for stronger routine healing.</x:v>
      </x:c>
    </x:row>
    <x:row r="174" ht="60" customHeight="1">
      <x:c r="A174" s="49" t="n">
        <x:v>85</x:v>
      </x:c>
      <x:c r="B174" s="50" t="str">
        <x:v>Tidecrown</x:v>
      </x:c>
      <x:c r="C174" s="50" t="str">
        <x:v>Knight's water crown</x:v>
      </x:c>
      <x:c r="D174" s="50" t="str">
        <x:v>Front/middle</x:v>
      </x:c>
      <x:c r="E174" s="50" t="str">
        <x:v>HP/VIT &gt; INT/MATK &gt; DEF/MDEF</x:v>
      </x:c>
      <x:c r="F174" s="50" t="str">
        <x:v>Royal Spout</x:v>
      </x:c>
      <x:c r="G174" s="50" t="str">
        <x:v>Refill the Crown</x:v>
      </x:c>
      <x:c r="H174" s="50" t="str">
        <x:v>Coronation Tide</x:v>
      </x:c>
      <x:c r="I174" s="50" t="str">
        <x:v>Use behind or beside a knight: passive damage sharing works without moving or taunting. Self-healing restores the health band needed to keep sharing.</x:v>
      </x:c>
    </x:row>
    <x:row r="175" ht="72.5" customHeight="1">
      <x:c r="A175" s="49" t="n">
        <x:v>85</x:v>
      </x:c>
      <x:c r="B175" s="50" t="str">
        <x:v>Tidecrown</x:v>
      </x:c>
      <x:c r="C175" s="50" t="str">
        <x:v>Royal spell escort</x:v>
      </x:c>
      <x:c r="D175" s="50" t="str">
        <x:v>Front/middle</x:v>
      </x:c>
      <x:c r="E175" s="50" t="str">
        <x:v>INT/MATK &gt; HP &gt; MDEF</x:v>
      </x:c>
      <x:c r="F175" s="50" t="str">
        <x:v>Royal Spout</x:v>
      </x:c>
      <x:c r="G175" s="50" t="str">
        <x:v>Basic Heal</x:v>
      </x:c>
      <x:c r="H175" s="50" t="str">
        <x:v>Coronation Tide</x:v>
      </x:c>
      <x:c r="I175" s="50" t="str">
        <x:v>Invest more in spells and active trainer recovery. The passive remains bounded protection, not the only tanking plan; use a sturdier second monster if Tidecrown stays behind.</x:v>
      </x:c>
    </x:row>
    <x:row r="176" ht="110" customHeight="1">
      <x:c r="A176" s="49" t="n">
        <x:v>86</x:v>
      </x:c>
      <x:c r="B176" s="50" t="str">
        <x:v>Elderroot</x:v>
      </x:c>
      <x:c r="C176" s="50" t="str">
        <x:v>Ancestral grove</x:v>
      </x:c>
      <x:c r="D176" s="50" t="str">
        <x:v>Front; saplings beside the main tank position</x:v>
      </x:c>
      <x:c r="E176" s="50" t="str">
        <x:v>HP/VIT &gt; DEF/MDEF</x:v>
      </x:c>
      <x:c r="F176" s="50" t="str">
        <x:v>Brace</x:v>
      </x:c>
      <x:c r="G176" s="50" t="str">
        <x:v>Hollow Haven</x:v>
      </x:c>
      <x:c r="H176" s="50" t="str">
        <x:v>Old Forest Stand</x:v>
      </x:c>
      <x:c r="I176" s="50" t="str">
        <x:v>Use two separate interception budgets to steady both the tree and trainer against direct attacks. A druid can overheal Elderroot into a shield, but the saplings are not extra healing targets. This is protection through finite bodies, not a permanent damage split.</x:v>
      </x:c>
    </x:row>
    <x:row r="177" ht="110" customHeight="1">
      <x:c r="A177" s="49" t="n">
        <x:v>86</x:v>
      </x:c>
      <x:c r="B177" s="50" t="str">
        <x:v>Elderroot</x:v>
      </x:c>
      <x:c r="C177" s="50" t="str">
        <x:v>Ironwood battalion</x:v>
      </x:c>
      <x:c r="D177" s="50" t="str">
        <x:v>Front at the existing melee clash</x:v>
      </x:c>
      <x:c r="E177" s="50" t="str">
        <x:v>STR/ATK &gt; HP &gt; HIT</x:v>
      </x:c>
      <x:c r="F177" s="50" t="str">
        <x:v>Root-Hand Crush</x:v>
      </x:c>
      <x:c r="G177" s="50" t="str">
        <x:v>Focused Attack</x:v>
      </x:c>
      <x:c r="H177" s="50" t="str">
        <x:v>Old Forest Stand</x:v>
      </x:c>
      <x:c r="I177" s="50" t="str">
        <x:v>Invest ATK into the tree and the wardens' modest swings. Against a melee boss the wardens can attack without moving; against groups they may acquire a new enemy only when it is already in reach. Keep enough HP that the protection is not consumed instantly.</x:v>
      </x:c>
    </x:row>
    <x:row r="178" ht="110" customHeight="1">
      <x:c r="A178" s="49" t="n">
        <x:v>87</x:v>
      </x:c>
      <x:c r="B178" s="50" t="str">
        <x:v>Emberorchid</x:v>
      </x:c>
      <x:c r="C178" s="50" t="str">
        <x:v>Boss-bloom artillery</x:v>
      </x:c>
      <x:c r="D178" s="50" t="str">
        <x:v>Back; turret remains within firing range of the boss</x:v>
      </x:c>
      <x:c r="E178" s="50" t="str">
        <x:v>INT/MATK &gt; HP</x:v>
      </x:c>
      <x:c r="F178" s="50" t="str">
        <x:v>Orchid Spark</x:v>
      </x:c>
      <x:c r="G178" s="50" t="str">
        <x:v>Searing Petals</x:v>
      </x:c>
      <x:c r="H178" s="50" t="str">
        <x:v>Bloomjaw Turret</x:v>
      </x:c>
      <x:c r="I178" s="50" t="str">
        <x:v>Concentrate the initial owner spells and first turret shot to reach Pollen's threshold, then let the turret supply bounded sustained damage. Owner ASPD does not accelerate it. A stationary boss offers full uptime; area attacks can erase that value early.</x:v>
      </x:c>
    </x:row>
    <x:row r="179" ht="110" customHeight="1">
      <x:c r="A179" s="49" t="n">
        <x:v>87</x:v>
      </x:c>
      <x:c r="B179" s="50" t="str">
        <x:v>Emberorchid</x:v>
      </x:c>
      <x:c r="C179" s="50" t="str">
        <x:v>Flash-flowering sweeper</x:v>
      </x:c>
      <x:c r="D179" s="50" t="str">
        <x:v>Middle/back</x:v>
      </x:c>
      <x:c r="E179" s="50" t="str">
        <x:v>INT/MATK &gt; HP/MDEF</x:v>
      </x:c>
      <x:c r="F179" s="50" t="str">
        <x:v>Orchid Spark</x:v>
      </x:c>
      <x:c r="G179" s="50" t="str">
        <x:v>Searing Petals</x:v>
      </x:c>
      <x:c r="H179" s="50" t="str">
        <x:v>Heavy Attack</x:v>
      </x:c>
      <x:c r="I179" s="50" t="str">
        <x:v>Replace the deployable with an immediate magical Heavy Attack when targets die quickly or repeatedly leave its range. The heavy generic does not add Pollen; Orchid Spark and Searing Petals still can. Small splash clears groups without every hit becoming a Pollen generator.</x:v>
      </x:c>
    </x:row>
    <x:row r="180" ht="122.5" customHeight="1">
      <x:c r="A180" s="49" t="n">
        <x:v>88</x:v>
      </x:c>
      <x:c r="B180" s="50" t="str">
        <x:v>Glowcap</x:v>
      </x:c>
      <x:c r="C180" s="50" t="str">
        <x:v>Nightlight garden</x:v>
      </x:c>
      <x:c r="D180" s="50" t="str">
        <x:v>Middle/back; cap placed at the existing frontline fight</x:v>
      </x:c>
      <x:c r="E180" s="50" t="str">
        <x:v>INT/MATK &gt; HP</x:v>
      </x:c>
      <x:c r="F180" s="50" t="str">
        <x:v>Glowseed</x:v>
      </x:c>
      <x:c r="G180" s="50" t="str">
        <x:v>Floating Canopy</x:v>
      </x:c>
      <x:c r="H180" s="50" t="str">
        <x:v>Mushroom Dawn</x:v>
      </x:c>
      <x:c r="I180" s="50" t="str">
        <x:v>Combine a small immediate shield, periodic single-target healing, and a team rescue. MATK strengthens recovery; HP strengthens the destructible Cap. A knight holding a boss in place can stay within coverage, but tanking a giant hit still needs an actual defensive ability.</x:v>
      </x:c>
    </x:row>
    <x:row r="181" ht="97.5" customHeight="1">
      <x:c r="A181" s="49" t="n">
        <x:v>88</x:v>
      </x:c>
      <x:c r="B181" s="50" t="str">
        <x:v>Glowcap</x:v>
      </x:c>
      <x:c r="C181" s="50" t="str">
        <x:v>Travelling nightlight</x:v>
      </x:c>
      <x:c r="D181" s="50" t="str">
        <x:v>Back</x:v>
      </x:c>
      <x:c r="E181" s="50" t="str">
        <x:v>INT/MATK &gt; HP/MDEF</x:v>
      </x:c>
      <x:c r="F181" s="50" t="str">
        <x:v>Glowseed</x:v>
      </x:c>
      <x:c r="G181" s="50" t="str">
        <x:v>Basic Heal</x:v>
      </x:c>
      <x:c r="H181" s="50" t="str">
        <x:v>Greater Heal</x:v>
      </x:c>
      <x:c r="I181" s="50" t="str">
        <x:v>Omit the fixed Cap against rapid target turnover, repeated ground hazards, or enemies that instantly destroy totems. Use direct target-selected recovery. The passive still supports Glowseed, so this remains a coherent non-deployment build.</x:v>
      </x:c>
    </x:row>
    <x:row r="182" ht="60" customHeight="1">
      <x:c r="A182" s="49" t="n">
        <x:v>89</x:v>
      </x:c>
      <x:c r="B182" s="50" t="str">
        <x:v>Marigloom</x:v>
      </x:c>
      <x:c r="C182" s="50" t="str">
        <x:v>Emergency florist</x:v>
      </x:c>
      <x:c r="D182" s="50" t="str">
        <x:v>Back</x:v>
      </x:c>
      <x:c r="E182" s="50" t="str">
        <x:v>INT/MATK &gt; HP</x:v>
      </x:c>
      <x:c r="F182" s="50" t="str">
        <x:v>Petal Poultice</x:v>
      </x:c>
      <x:c r="G182" s="50" t="str">
        <x:v>Mourning Bloom</x:v>
      </x:c>
      <x:c r="H182" s="50" t="str">
        <x:v>Second Spring</x:v>
      </x:c>
      <x:c r="I182" s="50" t="str">
        <x:v>Use with a knight who survives hits but needs strong recovery afterward. The large cast clears healing denial before calculating the heal.</x:v>
      </x:c>
    </x:row>
    <x:row r="183" ht="72.5" customHeight="1">
      <x:c r="A183" s="49" t="n">
        <x:v>89</x:v>
      </x:c>
      <x:c r="B183" s="50" t="str">
        <x:v>Marigloom</x:v>
      </x:c>
      <x:c r="C183" s="50" t="str">
        <x:v>Reserved rescue</x:v>
      </x:c>
      <x:c r="D183" s="50" t="str">
        <x:v>Middle/back</x:v>
      </x:c>
      <x:c r="E183" s="50" t="str">
        <x:v>HP/VIT &gt; INT/MATK &gt; MDEF</x:v>
      </x:c>
      <x:c r="F183" s="50" t="str">
        <x:v>Basic Ward</x:v>
      </x:c>
      <x:c r="G183" s="50" t="str">
        <x:v>Mourning Bloom</x:v>
      </x:c>
      <x:c r="H183" s="50" t="str">
        <x:v>Second Spring</x:v>
      </x:c>
      <x:c r="I183" s="50" t="str">
        <x:v>Use the fast slot to reduce incoming danger while holding the healing buttons for injured allies. Prioritize staying alive long enough to deliver the rescue.</x:v>
      </x:c>
    </x:row>
    <x:row r="184" ht="47.5" customHeight="1">
      <x:c r="A184" s="49" t="n">
        <x:v>90</x:v>
      </x:c>
      <x:c r="B184" s="50" t="str">
        <x:v>Mossling</x:v>
      </x:c>
      <x:c r="C184" s="50" t="str">
        <x:v>Patched-up bodyguard</x:v>
      </x:c>
      <x:c r="D184" s="50" t="str">
        <x:v>Front</x:v>
      </x:c>
      <x:c r="E184" s="50" t="str">
        <x:v>HP/VIT &gt; DEF/MDEF &gt; STR/ATK</x:v>
      </x:c>
      <x:c r="F184" s="50" t="str">
        <x:v>Root-Mitten Mash</x:v>
      </x:c>
      <x:c r="G184" s="50" t="str">
        <x:v>Moss Patch</x:v>
      </x:c>
      <x:c r="H184" s="50" t="str">
        <x:v>Fortify</x:v>
      </x:c>
      <x:c r="I184" s="50" t="str">
        <x:v>Use incoming frontline damage to strengthen the HP-based trainer ward. No MATK investment is necessary.</x:v>
      </x:c>
    </x:row>
    <x:row r="185" ht="60" customHeight="1">
      <x:c r="A185" s="49" t="n">
        <x:v>90</x:v>
      </x:c>
      <x:c r="B185" s="50" t="str">
        <x:v>Mossling</x:v>
      </x:c>
      <x:c r="C185" s="50" t="str">
        <x:v>Walking garden</x:v>
      </x:c>
      <x:c r="D185" s="50" t="str">
        <x:v>Front</x:v>
      </x:c>
      <x:c r="E185" s="50" t="str">
        <x:v>HP/VIT &gt; INT/MATK &gt; DEF/MDEF</x:v>
      </x:c>
      <x:c r="F185" s="50" t="str">
        <x:v>Brace</x:v>
      </x:c>
      <x:c r="G185" s="50" t="str">
        <x:v>Basic Heal</x:v>
      </x:c>
      <x:c r="H185" s="50" t="str">
        <x:v>Head Garden</x:v>
      </x:c>
      <x:c r="I185" s="50" t="str">
        <x:v>Drop Moss Patch to reserve Seedlings for the team heal. Basic Heal supplies routine recovery while a strong second monster handles damage.</x:v>
      </x:c>
    </x:row>
    <x:row r="186" ht="110" customHeight="1">
      <x:c r="A186" s="49" t="n">
        <x:v>91</x:v>
      </x:c>
      <x:c r="B186" s="50" t="str">
        <x:v>Skycorolla</x:v>
      </x:c>
      <x:c r="C186" s="50" t="str">
        <x:v>Mixed-team cyclone</x:v>
      </x:c>
      <x:c r="D186" s="50" t="str">
        <x:v>Back</x:v>
      </x:c>
      <x:c r="E186" s="50" t="str">
        <x:v>INT/MATK &gt; HP</x:v>
      </x:c>
      <x:c r="F186" s="50" t="str">
        <x:v>Petal Slicer</x:v>
      </x:c>
      <x:c r="G186" s="50" t="str">
        <x:v>Seedwind</x:v>
      </x:c>
      <x:c r="H186" s="50" t="str">
        <x:v>Four-Petal Cyclone</x:v>
      </x:c>
      <x:c r="I186" s="50" t="str">
        <x:v>Pair with a hunter or STR knight and physical core monster. Their focused hits build Crosswind for a strong primary magical strike while the cyclone adds small local splash. Neither allied pets nor additional splash recipients multiply the resource.</x:v>
      </x:c>
    </x:row>
    <x:row r="187" ht="97.5" customHeight="1">
      <x:c r="A187" s="49" t="n">
        <x:v>91</x:v>
      </x:c>
      <x:c r="B187" s="50" t="str">
        <x:v>Skycorolla</x:v>
      </x:c>
      <x:c r="C187" s="50" t="str">
        <x:v>Crosswind reserve</x:v>
      </x:c>
      <x:c r="D187" s="50" t="str">
        <x:v>Middle/back</x:v>
      </x:c>
      <x:c r="E187" s="50" t="str">
        <x:v>INT/MATK &gt; HP/MDEF</x:v>
      </x:c>
      <x:c r="F187" s="50" t="str">
        <x:v>Basic Ward</x:v>
      </x:c>
      <x:c r="G187" s="50" t="str">
        <x:v>Basic Heal</x:v>
      </x:c>
      <x:c r="H187" s="50" t="str">
        <x:v>Four-Petal Cyclone</x:v>
      </x:c>
      <x:c r="I187" s="50" t="str">
        <x:v>Reserve Crosswinds for the one large area signature while other slots support the physical trainer. Against a lone boss the primary resource bonus remains fully useful; the opportunity cost is much lower sustained personal damage.</x:v>
      </x:c>
    </x:row>
    <x:row r="188" ht="72.5" customHeight="1">
      <x:c r="A188" s="49" t="n">
        <x:v>92</x:v>
      </x:c>
      <x:c r="B188" s="50" t="str">
        <x:v>Ambercolossus</x:v>
      </x:c>
      <x:c r="C188" s="50" t="str">
        <x:v>Core guardian</x:v>
      </x:c>
      <x:c r="D188" s="50" t="str">
        <x:v>Front</x:v>
      </x:c>
      <x:c r="E188" s="50" t="str">
        <x:v>HP/VIT &gt; DEF/MDEF</x:v>
      </x:c>
      <x:c r="F188" s="50" t="str">
        <x:v>Brace</x:v>
      </x:c>
      <x:c r="G188" s="50" t="str">
        <x:v>Amber Encasement</x:v>
      </x:c>
      <x:c r="H188" s="50" t="str">
        <x:v>Colossus Stand</x:v>
      </x:c>
      <x:c r="I188" s="50" t="str">
        <x:v>Use against large but survivable bursts. The capped hit response protects the colossus, while wards and interception protect the trainer separately.</x:v>
      </x:c>
    </x:row>
    <x:row r="189" ht="60" customHeight="1">
      <x:c r="A189" s="49" t="n">
        <x:v>92</x:v>
      </x:c>
      <x:c r="B189" s="50" t="str">
        <x:v>Ambercolossus</x:v>
      </x:c>
      <x:c r="C189" s="50" t="str">
        <x:v>Amber counterweight</x:v>
      </x:c>
      <x:c r="D189" s="50" t="str">
        <x:v>Front</x:v>
      </x:c>
      <x:c r="E189" s="50" t="str">
        <x:v>STR/ATK &gt; HP &gt; HIT</x:v>
      </x:c>
      <x:c r="F189" s="50" t="str">
        <x:v>Core Maul</x:v>
      </x:c>
      <x:c r="G189" s="50" t="str">
        <x:v>Focused Attack</x:v>
      </x:c>
      <x:c r="H189" s="50" t="str">
        <x:v>Fortify</x:v>
      </x:c>
      <x:c r="I189" s="50" t="str">
        <x:v>Trade trainer-directed actives for a more offensive front body. A healer helps it survive between the passive's 3s windows.</x:v>
      </x:c>
    </x:row>
    <x:row r="190" ht="60" customHeight="1">
      <x:c r="A190" s="49" t="n">
        <x:v>93</x:v>
      </x:c>
      <x:c r="B190" s="50" t="str">
        <x:v>Bloomslime</x:v>
      </x:c>
      <x:c r="C190" s="50" t="str">
        <x:v>Blooming bulwark</x:v>
      </x:c>
      <x:c r="D190" s="50" t="str">
        <x:v>Front</x:v>
      </x:c>
      <x:c r="E190" s="50" t="str">
        <x:v>HP/VIT &gt; INT/MATK &gt; DEF/MDEF</x:v>
      </x:c>
      <x:c r="F190" s="50" t="str">
        <x:v>Brace</x:v>
      </x:c>
      <x:c r="G190" s="50" t="str">
        <x:v>Slime Encasement</x:v>
      </x:c>
      <x:c r="H190" s="50" t="str">
        <x:v>Closed Garden</x:v>
      </x:c>
      <x:c r="I190" s="50" t="str">
        <x:v>Take manageable front pressure while protecting the trainer. The bloom is insurance after a survived hit, not a reason to let the creature nearly die.</x:v>
      </x:c>
    </x:row>
    <x:row r="191" ht="72.5" customHeight="1">
      <x:c r="A191" s="49" t="n">
        <x:v>93</x:v>
      </x:c>
      <x:c r="B191" s="50" t="str">
        <x:v>Bloomslime</x:v>
      </x:c>
      <x:c r="C191" s="50" t="str">
        <x:v>Bud battlemender</x:v>
      </x:c>
      <x:c r="D191" s="50" t="str">
        <x:v>Front/middle</x:v>
      </x:c>
      <x:c r="E191" s="50" t="str">
        <x:v>INT/MATK &gt; HP</x:v>
      </x:c>
      <x:c r="F191" s="50" t="str">
        <x:v>Bud Pulse</x:v>
      </x:c>
      <x:c r="G191" s="50" t="str">
        <x:v>Basic Heal</x:v>
      </x:c>
      <x:c r="H191" s="50" t="str">
        <x:v>Closed Garden</x:v>
      </x:c>
      <x:c r="I191" s="50" t="str">
        <x:v>Use MATK for meaningful damage, healing, and the emergency team bloom. Pair with a knight or another front-capable monster when using a lighter defensive build.</x:v>
      </x:c>
    </x:row>
    <x:row r="192" ht="72.5" customHeight="1">
      <x:c r="A192" s="49" t="n">
        <x:v>94</x:v>
      </x:c>
      <x:c r="B192" s="50" t="str">
        <x:v>Echochime</x:v>
      </x:c>
      <x:c r="C192" s="50" t="str">
        <x:v>Mage's echo</x:v>
      </x:c>
      <x:c r="D192" s="50" t="str">
        <x:v>Back</x:v>
      </x:c>
      <x:c r="E192" s="50" t="str">
        <x:v>INT/MATK &gt; HP</x:v>
      </x:c>
      <x:c r="F192" s="50" t="str">
        <x:v>Tuning Tap</x:v>
      </x:c>
      <x:c r="G192" s="50" t="str">
        <x:v>Second Note</x:v>
      </x:c>
      <x:c r="H192" s="50" t="str">
        <x:v>Grand Refrain</x:v>
      </x:c>
      <x:c r="I192" s="50" t="str">
        <x:v>Pair with a damage-focused mage to obtain frequent damaging Notes. MATK raises the copy caps; the kit reproduces numbers, not the mage's entire spell logic.</x:v>
      </x:c>
    </x:row>
    <x:row r="193" ht="72.5" customHeight="1">
      <x:c r="A193" s="49" t="n">
        <x:v>94</x:v>
      </x:c>
      <x:c r="B193" s="50" t="str">
        <x:v>Echochime</x:v>
      </x:c>
      <x:c r="C193" s="50" t="str">
        <x:v>Druid's refrain</x:v>
      </x:c>
      <x:c r="D193" s="50" t="str">
        <x:v>Middle/back</x:v>
      </x:c>
      <x:c r="E193" s="50" t="str">
        <x:v>INT/MATK &gt; HP/MDEF</x:v>
      </x:c>
      <x:c r="F193" s="50" t="str">
        <x:v>Basic Ward</x:v>
      </x:c>
      <x:c r="G193" s="50" t="str">
        <x:v>Second Note</x:v>
      </x:c>
      <x:c r="H193" s="50" t="str">
        <x:v>Grand Refrain</x:v>
      </x:c>
      <x:c r="I193" s="50" t="str">
        <x:v>Pair with a healing/shielding druid. Automatic copies reinforce useful recovery, but a newly recorded trainer attack can change the next copy's category.</x:v>
      </x:c>
    </x:row>
    <x:row r="194" ht="72.5" customHeight="1">
      <x:c r="A194" s="49" t="n">
        <x:v>95</x:v>
      </x:c>
      <x:c r="B194" s="50" t="str">
        <x:v>Inksprite</x:v>
      </x:c>
      <x:c r="C194" s="50" t="str">
        <x:v>Smudged marksman</x:v>
      </x:c>
      <x:c r="D194" s="50" t="str">
        <x:v>Back</x:v>
      </x:c>
      <x:c r="E194" s="50" t="str">
        <x:v>DEX/ATK &gt; HIT &gt; CRIT/LUK</x:v>
      </x:c>
      <x:c r="F194" s="50" t="str">
        <x:v>Blot Flick</x:v>
      </x:c>
      <x:c r="G194" s="50" t="str">
        <x:v>Focused Attack</x:v>
      </x:c>
      <x:c r="H194" s="50" t="str">
        <x:v>Erase the Face</x:v>
      </x:c>
      <x:c r="I194" s="50" t="str">
        <x:v>Choose straightforward burst against a boss that ignores lures or relies on active skills. Blot Flick supplies the damage condition; no decoy is required.</x:v>
      </x:c>
    </x:row>
    <x:row r="195" ht="110" customHeight="1">
      <x:c r="A195" s="49" t="n">
        <x:v>95</x:v>
      </x:c>
      <x:c r="B195" s="50" t="str">
        <x:v>Inksprite</x:v>
      </x:c>
      <x:c r="C195" s="50" t="str">
        <x:v>Ink-body duelist</x:v>
      </x:c>
      <x:c r="D195" s="50" t="str">
        <x:v>Front/middle at the active basic-attack exchange</x:v>
      </x:c>
      <x:c r="E195" s="50" t="str">
        <x:v>DEX/ATK &gt; HP &gt; AGI/FLEE</x:v>
      </x:c>
      <x:c r="F195" s="50" t="str">
        <x:v>Blot Flick</x:v>
      </x:c>
      <x:c r="G195" s="50" t="str">
        <x:v>Dripping Double</x:v>
      </x:c>
      <x:c r="H195" s="50" t="str">
        <x:v>Fortify</x:v>
      </x:c>
      <x:c r="I195" s="50" t="str">
        <x:v>Absorb at most one eligible basic attack with a small expendable body, then use Fortify to survive the next real exchange. Against a group, a destroyed Double can smear nearby enemies. This is evasion-style disruption, not a clone with full damage or a lasting trainer bodyguard.</x:v>
      </x:c>
    </x:row>
    <x:row r="196" ht="72.5" customHeight="1">
      <x:c r="A196" s="49" t="n">
        <x:v>96</x:v>
      </x:c>
      <x:c r="B196" s="50" t="str">
        <x:v>Cairnkin</x:v>
      </x:c>
      <x:c r="C196" s="50" t="str">
        <x:v>Last guardian</x:v>
      </x:c>
      <x:c r="D196" s="50" t="str">
        <x:v>Front</x:v>
      </x:c>
      <x:c r="E196" s="50" t="str">
        <x:v>HP/VIT &gt; DEF/MDEF</x:v>
      </x:c>
      <x:c r="F196" s="50" t="str">
        <x:v>Brace</x:v>
      </x:c>
      <x:c r="G196" s="50" t="str">
        <x:v>Mortar Memory</x:v>
      </x:c>
      <x:c r="H196" s="50" t="str">
        <x:v>Oath of Bones</x:v>
      </x:c>
      <x:c r="I196" s="50" t="str">
        <x:v>Use with a high-damage but fragile second monster. The passive cushions the transition if that ally falls, while normal actives provide protection before any death.</x:v>
      </x:c>
    </x:row>
    <x:row r="197" ht="72.5" customHeight="1">
      <x:c r="A197" s="49" t="n">
        <x:v>96</x:v>
      </x:c>
      <x:c r="B197" s="50" t="str">
        <x:v>Cairnkin</x:v>
      </x:c>
      <x:c r="C197" s="50" t="str">
        <x:v>Jawbone bruiser</x:v>
      </x:c>
      <x:c r="D197" s="50" t="str">
        <x:v>Front</x:v>
      </x:c>
      <x:c r="E197" s="50" t="str">
        <x:v>STR/ATK &gt; HP &gt; HIT</x:v>
      </x:c>
      <x:c r="F197" s="50" t="str">
        <x:v>Jawbone Check</x:v>
      </x:c>
      <x:c r="G197" s="50" t="str">
        <x:v>Focused Attack</x:v>
      </x:c>
      <x:c r="H197" s="50" t="str">
        <x:v>Fortify</x:v>
      </x:c>
      <x:c r="I197" s="50" t="str">
        <x:v>Use the jawbone shield and a generic heavy defense while contributing damage beside a knight. Do not intentionally sacrifice the other monster just to obtain the rally.</x:v>
      </x:c>
    </x:row>
    <x:row r="198" ht="72.5" customHeight="1">
      <x:c r="A198" s="49" t="n">
        <x:v>97</x:v>
      </x:c>
      <x:c r="B198" s="50" t="str">
        <x:v>Casketot</x:v>
      </x:c>
      <x:c r="C198" s="50" t="str">
        <x:v>Spellproof coffin</x:v>
      </x:c>
      <x:c r="D198" s="50" t="str">
        <x:v>Front</x:v>
      </x:c>
      <x:c r="E198" s="50" t="str">
        <x:v>HP/VIT &gt; INT/MATK &gt; MDEF</x:v>
      </x:c>
      <x:c r="F198" s="50" t="str">
        <x:v>Hinge Hex</x:v>
      </x:c>
      <x:c r="G198" s="50" t="str">
        <x:v>Close the Lid</x:v>
      </x:c>
      <x:c r="H198" s="50" t="str">
        <x:v>Safe Inside</x:v>
      </x:c>
      <x:c r="I198" s="50" t="str">
        <x:v>Counter an INT frontline or spell-heavy team. The hex reduces an upcoming magical active, while self and trainer wards cover different damage paths.</x:v>
      </x:c>
    </x:row>
    <x:row r="199" ht="60" customHeight="1">
      <x:c r="A199" s="49" t="n">
        <x:v>97</x:v>
      </x:c>
      <x:c r="B199" s="50" t="str">
        <x:v>Casketot</x:v>
      </x:c>
      <x:c r="C199" s="50" t="str">
        <x:v>Spectral fighter tank</x:v>
      </x:c>
      <x:c r="D199" s="50" t="str">
        <x:v>Front</x:v>
      </x:c>
      <x:c r="E199" s="50" t="str">
        <x:v>INT/MATK &gt; HP &gt; DEF</x:v>
      </x:c>
      <x:c r="F199" s="50" t="str">
        <x:v>Hinge Hex</x:v>
      </x:c>
      <x:c r="G199" s="50" t="str">
        <x:v>Focused Attack</x:v>
      </x:c>
      <x:c r="H199" s="50" t="str">
        <x:v>Fortify</x:v>
      </x:c>
      <x:c r="I199" s="50" t="str">
        <x:v>Keep the magic-specialist passive but lean into spectral damage. Defensive equipment compensates when facing mixed damage instead of pure magic.</x:v>
      </x:c>
    </x:row>
    <x:row r="200" ht="60" customHeight="1">
      <x:c r="A200" s="49" t="n">
        <x:v>98</x:v>
      </x:c>
      <x:c r="B200" s="50" t="str">
        <x:v>Kilncoil</x:v>
      </x:c>
      <x:c r="C200" s="50" t="str">
        <x:v>Kiln duelist</x:v>
      </x:c>
      <x:c r="D200" s="50" t="str">
        <x:v>Front beside a knight</x:v>
      </x:c>
      <x:c r="E200" s="50" t="str">
        <x:v>STR/ATK &gt; HP &gt; HIT</x:v>
      </x:c>
      <x:c r="F200" s="50" t="str">
        <x:v>Kiln Ram</x:v>
      </x:c>
      <x:c r="G200" s="50" t="str">
        <x:v>Focused Attack</x:v>
      </x:c>
      <x:c r="H200" s="50" t="str">
        <x:v>Kiln-Tail Crush</x:v>
      </x:c>
      <x:c r="I200" s="50" t="str">
        <x:v>Split enemy attention with a knight so one opponent repeatedly attacks Kilncoil. Its own strikes then gain the remembered-attacker bonus.</x:v>
      </x:c>
    </x:row>
    <x:row r="201" ht="60" customHeight="1">
      <x:c r="A201" s="49" t="n">
        <x:v>98</x:v>
      </x:c>
      <x:c r="B201" s="50" t="str">
        <x:v>Kilncoil</x:v>
      </x:c>
      <x:c r="C201" s="50" t="str">
        <x:v>Firebrick partner</x:v>
      </x:c>
      <x:c r="D201" s="50" t="str">
        <x:v>Front</x:v>
      </x:c>
      <x:c r="E201" s="50" t="str">
        <x:v>HP/VIT &gt; STR/ATK &gt; DEF/MDEF</x:v>
      </x:c>
      <x:c r="F201" s="50" t="str">
        <x:v>Kiln Ram</x:v>
      </x:c>
      <x:c r="G201" s="50" t="str">
        <x:v>Firebrick Curl</x:v>
      </x:c>
      <x:c r="H201" s="50" t="str">
        <x:v>Fortify</x:v>
      </x:c>
      <x:c r="I201" s="50" t="str">
        <x:v>Use active protection when several enemies disrupt the passive. This is the safer build when incoming focus cannot be cleanly split.</x:v>
      </x:c>
    </x:row>
    <x:row r="202" ht="97.5" customHeight="1">
      <x:c r="A202" s="49" t="n">
        <x:v>99</x:v>
      </x:c>
      <x:c r="B202" s="50" t="str">
        <x:v>Maskin</x:v>
      </x:c>
      <x:c r="C202" s="50" t="str">
        <x:v>Laughing procession</x:v>
      </x:c>
      <x:c r="D202" s="50" t="str">
        <x:v>Middle/back; spirits spawn on friendly ground</x:v>
      </x:c>
      <x:c r="E202" s="50" t="str">
        <x:v>INT/MATK &gt; HP</x:v>
      </x:c>
      <x:c r="F202" s="50" t="str">
        <x:v>Polite Mockery</x:v>
      </x:c>
      <x:c r="G202" s="50" t="str">
        <x:v>Unmask the Tricksters</x:v>
      </x:c>
      <x:c r="H202" s="50" t="str">
        <x:v>Three-Voice Verdict</x:v>
      </x:c>
      <x:c r="I202" s="50" t="str">
        <x:v>Choose the offensive 8s branch: two fragile fixed-rate spirits add pressure to a boss or subsequent legal targets. The other slots remain quick direct spells. MATK scales all offense; do not invest attack speed expecting faster detached spirits.</x:v>
      </x:c>
    </x:row>
    <x:row r="203" ht="122.5" customHeight="1">
      <x:c r="A203" s="49" t="n">
        <x:v>99</x:v>
      </x:c>
      <x:c r="B203" s="50" t="str">
        <x:v>Maskin</x:v>
      </x:c>
      <x:c r="C203" s="50" t="str">
        <x:v>Smiling attendants</x:v>
      </x:c>
      <x:c r="D203" s="50" t="str">
        <x:v>Middle/back</x:v>
      </x:c>
      <x:c r="E203" s="50" t="str">
        <x:v>INT/MATK &gt; HP/MDEF</x:v>
      </x:c>
      <x:c r="F203" s="50" t="str">
        <x:v>Basic Ward</x:v>
      </x:c>
      <x:c r="G203" s="50" t="str">
        <x:v>False Smile</x:v>
      </x:c>
      <x:c r="H203" s="50" t="str">
        <x:v>Greater Heal</x:v>
      </x:c>
      <x:c r="I203" s="50" t="str">
        <x:v>Commit the detachable pair to the trainer and other core monster instead. Combine immediate guardian wards with small delayed heals and direct emergency recovery. Choosing False Smile excludes Unmask the Tricksters from the same 8s slot, so this is not a free damage army plus a free healing army.</x:v>
      </x:c>
    </x:row>
    <x:row r="204" ht="72.5" customHeight="1">
      <x:c r="A204" s="49" t="n">
        <x:v>100</x:v>
      </x:c>
      <x:c r="B204" s="50" t="str">
        <x:v>Shellsnail</x:v>
      </x:c>
      <x:c r="C204" s="50" t="str">
        <x:v>Anti-crit scrapper</x:v>
      </x:c>
      <x:c r="D204" s="50" t="str">
        <x:v>Front</x:v>
      </x:c>
      <x:c r="E204" s="50" t="str">
        <x:v>STR/ATK &gt; HP &gt; HIT</x:v>
      </x:c>
      <x:c r="F204" s="50" t="str">
        <x:v>Spiral Fist</x:v>
      </x:c>
      <x:c r="G204" s="50" t="str">
        <x:v>Focused Attack</x:v>
      </x:c>
      <x:c r="H204" s="50" t="str">
        <x:v>Reverse Spiral</x:v>
      </x:c>
      <x:c r="I204" s="50" t="str">
        <x:v>Counter a crit-focused front attacker. The passive's return strike is helpful, but its normal damage remains functional against a noncritical opening.</x:v>
      </x:c>
    </x:row>
    <x:row r="205" ht="60" customHeight="1">
      <x:c r="A205" s="49" t="n">
        <x:v>100</x:v>
      </x:c>
      <x:c r="B205" s="50" t="str">
        <x:v>Shellsnail</x:v>
      </x:c>
      <x:c r="C205" s="50" t="str">
        <x:v>Sealed-shell companion</x:v>
      </x:c>
      <x:c r="D205" s="50" t="str">
        <x:v>Front</x:v>
      </x:c>
      <x:c r="E205" s="50" t="str">
        <x:v>HP/VIT &gt; STR/ATK &gt; DEF</x:v>
      </x:c>
      <x:c r="F205" s="50" t="str">
        <x:v>Brace</x:v>
      </x:c>
      <x:c r="G205" s="50" t="str">
        <x:v>Seal the Shell</x:v>
      </x:c>
      <x:c r="H205" s="50" t="str">
        <x:v>Reverse Spiral</x:v>
      </x:c>
      <x:c r="I205" s="50" t="str">
        <x:v>Drop the small Coil-spending attack so the heavy signature can use the charge when ready. Self-healing sustains a durable partner for a hunter or mage.</x:v>
      </x:c>
    </x:row>
  </x:sheetData>
  <x:mergeCells>
    <x:mergeCell ref="A1:I2"/>
    <x:mergeCell ref="A3:I3"/>
  </x:mergeCells>
  <x:pageMargins left="0.7" right="0.7" top="0.75" bottom="0.75" header="0.3" footer="0.3"/>
  <x:tableParts count="1">
    <x:tablePart xmlns:r="http://schemas.openxmlformats.org/officeDocument/2006/relationships" r:id="R2fe5da2684cc4061"/>
  </x:tableParts>
</x:worksheet>
</file>

<file path=xl/worksheets/sheet5.xml><?xml version="1.0" encoding="utf-8"?>
<x:worksheet xmlns:x="http://schemas.openxmlformats.org/spreadsheetml/2006/main">
  <x:sheetFormatPr defaultRowHeight="15"/>
  <x:cols>
    <x:col min="1" max="1" width="12" hidden="0" customWidth="1"/>
    <x:col min="2" max="2" width="25" hidden="0" customWidth="1"/>
    <x:col min="3" max="3" width="40" hidden="0" customWidth="1"/>
    <x:col min="4" max="4" width="40" hidden="0" customWidth="1"/>
  </x:cols>
  <x:sheetData>
    <x:row r="1" ht="19" customHeight="1">
      <x:c r="A1" s="10" t="str">
        <x:v>HUNTARIA  |  SHARED MOVE TEMPLATES</x:v>
      </x:c>
      <x:c r="B1" s="10"/>
      <x:c r="C1" s="10"/>
      <x:c r="D1" s="10"/>
    </x:row>
    <x:row r="2" ht="19" customHeight="1">
      <x:c r="A2" s="10"/>
      <x:c r="B2" s="10"/>
      <x:c r="C2" s="10"/>
      <x:c r="D2" s="10"/>
    </x:row>
    <x:row r="3" ht="32" customHeight="1">
      <x:c r="A3" s="14" t="str">
        <x:v>11 proposed generic options used in the loadouts. Availability/learnsets were not specified in the source CSV.</x:v>
      </x:c>
      <x:c r="B3" s="14"/>
      <x:c r="C3" s="14"/>
      <x:c r="D3" s="14"/>
    </x:row>
    <x:row r="4" ht="9" customHeight="1">
      <x:c r="A4" s="4"/>
      <x:c r="B4" s="4"/>
      <x:c r="C4" s="4"/>
      <x:c r="D4" s="4"/>
    </x:row>
    <x:row r="5" ht="32" customHeight="1">
      <x:c r="A5" s="18" t="str">
        <x:v>Slot / CD (s)</x:v>
      </x:c>
      <x:c r="B5" s="18" t="str">
        <x:v>General move</x:v>
      </x:c>
      <x:c r="C5" s="18" t="str">
        <x:v>Effect / scaling</x:v>
      </x:c>
      <x:c r="D5" s="18" t="str">
        <x:v>Automatic cast condition</x:v>
      </x:c>
    </x:row>
    <x:row r="6" ht="68" customHeight="1">
      <x:c r="A6" s="22" t="n">
        <x:v>4</x:v>
      </x:c>
      <x:c r="B6" s="4" t="str">
        <x:v>Quick Strike</x:v>
      </x:c>
      <x:c r="C6" s="4" t="str">
        <x:v>Deal 1.25 P direct damage to the current legal target, using the species' normal physical/magical damage type and reach.</x:v>
      </x:c>
      <x:c r="D6" s="4" t="str">
        <x:v>Cast when a legal target is in reach.</x:v>
      </x:c>
    </x:row>
    <x:row r="7" ht="54" customHeight="1">
      <x:c r="A7" s="22" t="n">
        <x:v>4</x:v>
      </x:c>
      <x:c r="B7" s="4" t="str">
        <x:v>Brace</x:v>
      </x:c>
      <x:c r="C7" s="4" t="str">
        <x:v>Reduce incoming direct damage to self by 15% for 2s. No movement, taunt, or ally redirect.</x:v>
      </x:c>
      <x:c r="D7" s="4" t="str">
        <x:v>Cast while at least one enemy is targeting self.</x:v>
      </x:c>
    </x:row>
    <x:row r="8" ht="54" customHeight="1">
      <x:c r="A8" s="22" t="n">
        <x:v>4</x:v>
      </x:c>
      <x:c r="B8" s="4" t="str">
        <x:v>Basic Ward</x:v>
      </x:c>
      <x:c r="C8" s="4" t="str">
        <x:v>Shield the lowest-HP% ally for 0.60 M for 3s.</x:v>
      </x:c>
      <x:c r="D8" s="4" t="str">
        <x:v>Cast when an ally is targeted or at 75% HP or lower; use the support targeting rules.</x:v>
      </x:c>
    </x:row>
    <x:row r="9" ht="68" customHeight="1">
      <x:c r="A9" s="22" t="n">
        <x:v>8</x:v>
      </x:c>
      <x:c r="B9" s="4" t="str">
        <x:v>Focused Attack</x:v>
      </x:c>
      <x:c r="C9" s="4" t="str">
        <x:v>Deal 1.90 P direct damage to the current legal target using normal damage type/reach. A physical cast has +20 HIT.</x:v>
      </x:c>
      <x:c r="D9" s="4" t="str">
        <x:v>Cast when a legal target is in reach.</x:v>
      </x:c>
    </x:row>
    <x:row r="10" ht="54" customHeight="1">
      <x:c r="A10" s="22" t="n">
        <x:v>8</x:v>
      </x:c>
      <x:c r="B10" s="4" t="str">
        <x:v>Basic Heal</x:v>
      </x:c>
      <x:c r="C10" s="4" t="str">
        <x:v>Heal the lowest-HP% ally for 1.40 M.</x:v>
      </x:c>
      <x:c r="D10" s="4" t="str">
        <x:v>Cast when an ally is at 80% HP or lower; prioritize trainer at 55% HP or lower.</x:v>
      </x:c>
    </x:row>
    <x:row r="11" ht="54" customHeight="1">
      <x:c r="A11" s="22" t="n">
        <x:v>8</x:v>
      </x:c>
      <x:c r="B11" s="4" t="str">
        <x:v>Battle Rhythm</x:v>
      </x:c>
      <x:c r="C11" s="4" t="str">
        <x:v>Reduce self basic-attack interval by 12% for 3s. This does not change active cooldowns.</x:v>
      </x:c>
      <x:c r="D11" s="4" t="str">
        <x:v>Cast while actively attacking.</x:v>
      </x:c>
    </x:row>
    <x:row r="12" ht="68" customHeight="1">
      <x:c r="A12" s="22" t="n">
        <x:v>8</x:v>
      </x:c>
      <x:c r="B12" s="4" t="str">
        <x:v>Guard</x:v>
      </x:c>
      <x:c r="C12" s="4" t="str">
        <x:v>Divert 20% of trainer direct HP damage to self for 2s, subject to the single-interceptor and no-double-mitigation rules.</x:v>
      </x:c>
      <x:c r="D12" s="4" t="str">
        <x:v>Require self above 50% HP AND trainer targeted or at 65% HP or lower.</x:v>
      </x:c>
    </x:row>
    <x:row r="13" ht="54" customHeight="1">
      <x:c r="A13" s="22" t="n">
        <x:v>12</x:v>
      </x:c>
      <x:c r="B13" s="4" t="str">
        <x:v>Fortify</x:v>
      </x:c>
      <x:c r="C13" s="4" t="str">
        <x:v>Gain a self-shield equal to 12% H for 4s.</x:v>
      </x:c>
      <x:c r="D13" s="4" t="str">
        <x:v>Cast while targeted or at 65% HP or lower; do not overwrite a stronger same-move shield.</x:v>
      </x:c>
    </x:row>
    <x:row r="14" ht="54" customHeight="1">
      <x:c r="A14" s="22" t="n">
        <x:v>12</x:v>
      </x:c>
      <x:c r="B14" s="4" t="str">
        <x:v>Rally</x:v>
      </x:c>
      <x:c r="C14" s="4" t="str">
        <x:v>The other living ally with the highest unbuffed primary attack stat deals 12% more direct damage for 3s.</x:v>
      </x:c>
      <x:c r="D14" s="4" t="str">
        <x:v>Cast when the chosen ally is actively attacking.</x:v>
      </x:c>
    </x:row>
    <x:row r="15" ht="54" customHeight="1">
      <x:c r="A15" s="22" t="n">
        <x:v>12</x:v>
      </x:c>
      <x:c r="B15" s="4" t="str">
        <x:v>Greater Heal</x:v>
      </x:c>
      <x:c r="C15" s="4" t="str">
        <x:v>Heal the lowest-HP% ally for 2.00 M.</x:v>
      </x:c>
      <x:c r="D15" s="4" t="str">
        <x:v>Cast when an ally is at 65% HP or lower; prioritize trainer at 55% HP or lower.</x:v>
      </x:c>
    </x:row>
    <x:row r="16" ht="54" customHeight="1">
      <x:c r="A16" s="22" t="n">
        <x:v>12</x:v>
      </x:c>
      <x:c r="B16" s="4" t="str">
        <x:v>Heavy Attack</x:v>
      </x:c>
      <x:c r="C16" s="4" t="str">
        <x:v>Deal 2.80 P direct damage to the current legal target using normal damage type/reach.</x:v>
      </x:c>
      <x:c r="D16" s="4" t="str">
        <x:v>Cast when a legal target is in reach.</x:v>
      </x:c>
    </x:row>
  </x:sheetData>
  <x:mergeCells>
    <x:mergeCell ref="A1:D2"/>
    <x:mergeCell ref="A3:D3"/>
  </x:mergeCells>
  <x:pageMargins left="0.7" right="0.7" top="0.75" bottom="0.75" header="0.3" footer="0.3"/>
  <x:tableParts count="1">
    <x:tablePart xmlns:r="http://schemas.openxmlformats.org/officeDocument/2006/relationships" r:id="R720899ae0c3946c3"/>
  </x:tableParts>
</x:worksheet>
</file>

<file path=xl/worksheets/sheet6.xml><?xml version="1.0" encoding="utf-8"?>
<x:worksheet xmlns:x="http://schemas.openxmlformats.org/spreadsheetml/2006/main">
  <x:sheetFormatPr defaultRowHeight="15"/>
  <x:cols>
    <x:col min="1" max="1" width="28" hidden="0" customWidth="1"/>
    <x:col min="2" max="2" width="40" hidden="0" customWidth="1"/>
    <x:col min="3" max="3" width="40" hidden="0" customWidth="1"/>
  </x:cols>
  <x:sheetData>
    <x:row r="1" ht="19" customHeight="1">
      <x:c r="A1" s="61" t="str">
        <x:v>HUNTARIA  |  RULES &amp; TUNING  ·  v2</x:v>
      </x:c>
      <x:c r="B1" s="61"/>
      <x:c r="C1" s="61"/>
    </x:row>
    <x:row r="2" ht="19" customHeight="1">
      <x:c r="A2" s="61"/>
      <x:c r="B2" s="61"/>
      <x:c r="C2" s="61"/>
    </x:row>
    <x:row r="3" ht="30" customHeight="1">
      <x:c r="A3" s="50" t="str">
        <x:v>Revised free-arena, boss, summon, core-ally, targeting and proc rules. Coefficients and engine conventions remain proposals.</x:v>
      </x:c>
      <x:c r="B3" s="50"/>
      <x:c r="C3" s="50"/>
    </x:row>
    <x:row r="4" ht="9" customHeight="1">
      <x:c r="A4" s="4"/>
      <x:c r="B4" s="4"/>
      <x:c r="C4" s="4"/>
    </x:row>
    <x:row r="5" ht="32" customHeight="1">
      <x:c r="A5" s="56" t="str">
        <x:v>Topic</x:v>
      </x:c>
      <x:c r="B5" s="56" t="str">
        <x:v>Working proposal</x:v>
      </x:c>
      <x:c r="C5" s="56" t="str">
        <x:v>Decision / verification</x:v>
      </x:c>
    </x:row>
    <x:row r="6" ht="110" customHeight="1">
      <x:c r="A6" s="49" t="str">
        <x:v>Status of this proposal</x:v>
      </x:c>
      <x:c r="B6" s="50" t="str">
        <x:v>All abilities, coefficients, targeting rules, timing gates, generic moves, and implementation safeguards are original design proposals. The supplied CSV is the source of truth for species names, visuals, roles, appeals, inspiration families, and attack bases.</x:v>
      </x:c>
      <x:c r="C6" s="50" t="str">
        <x:v>No game simulation or balance validation has been performed. Preserve the source roster; tune these mechanics against actual species stats.</x:v>
      </x:c>
    </x:row>
    <x:row r="7" ht="110" customHeight="1">
      <x:c r="A7" s="49" t="str">
        <x:v>Team and rows</x:v>
      </x:c>
      <x:c r="B7" s="50" t="str">
        <x:v>The player party remains one trainer plus two core monsters as the working party model. The user confirms a free-space arena that can contain one boss or many enemies and additional summoned entities. Front/middle/back are deployment bands, not one-unit tiles or a six-unit arena cap.</x:v>
      </x:c>
      <x:c r="C7" s="50" t="str">
        <x:v>Party size is carried forward from the prior draft; no new enemy-count ceiling is imposed. World-scale range and footprint dimensions remain prototype decisions.</x:v>
      </x:c>
    </x:row>
    <x:row r="8" ht="97.5" customHeight="1">
      <x:c r="A8" s="49" t="str">
        <x:v>Trainer defeat</x:v>
      </x:c>
      <x:c r="B8" s="50" t="str">
        <x:v>Trainer HP reaching zero ends the battle immediately after the damage event's prevention steps. No ordinary healing, death-triggered ward, retaliation, or delayed effect may revive the trainer or reverse that outcome.</x:v>
      </x:c>
      <x:c r="C8" s="50" t="str">
        <x:v>Nontrainer emergency effects must respect this terminal state. Define simultaneous-trainer-defeat resolution explicitly in the engine.</x:v>
      </x:c>
    </x:row>
    <x:row r="9" ht="122.5" customHeight="1">
      <x:c r="A9" s="49" t="str">
        <x:v>Three active slots</x:v>
      </x:c>
      <x:c r="B9" s="50" t="str">
        <x:v>Each core unit equips exactly three active skills. Retain the previous draft's 4s / 8s / 12s assignments as provisional balance tiers, not a user-confirmed engine restriction. Four species now have a fourth signature option; two alternatives in the same tier still compete for one equipped slot.</x:v>
      </x:c>
      <x:c r="C9" s="50" t="str">
        <x:v>Cindertroop, Pinstitch, Crucibulk and Maskin have four signatures; all other species have three. Summon actions are explicitly budgeted outputs of an equipped skill, never new player-selectable slots.</x:v>
      </x:c>
    </x:row>
    <x:row r="10" ht="135" customHeight="1">
      <x:c r="A10" s="49" t="str">
        <x:v>Opening cadence</x:v>
      </x:c>
      <x:c r="B10" s="50" t="str">
        <x:v>Working proposal: useful skills start ready, execute one at a time with a 0.35s action separation, and start their cooldown on execution. Resource spending occurs at execution. Do not reset the basic-attack timer merely for creating a summon. First deployment pulses are immediate where written; creature attacks use their listed short wind-up.</x:v>
      </x:c>
      <x:c r="C10" s="50" t="str">
        <x:v>These timings were proposed, not confirmed by the user. Test the first summon attack at 0.5s and whether setup competes fairly with immediate attacks.</x:v>
      </x:c>
    </x:row>
    <x:row r="11" ht="122.5" customHeight="1">
      <x:c r="A11" s="49" t="str">
        <x:v>Autocast, not manual combos</x:v>
      </x:c>
      <x:c r="B11" s="50" t="str">
        <x:v>Follow each usefulness gate without waiting indefinitely for resources, enemy deaths, or several targets. Resolve support urgency first; when two ready actions are equally useful and one deploys something used by the other, deploy first. Failed placements or invalid targets do not consume a cooldown.</x:v>
      </x:c>
      <x:c r="C11" s="50" t="str">
        <x:v>Specify the actual engine's priority list before implementation. No build depends on manual clicking or a player-controlled mid-fight mode switch.</x:v>
      </x:c>
    </x:row>
    <x:row r="12" ht="135" customHeight="1">
      <x:c r="A12" s="49" t="str">
        <x:v>Normal targeting</x:v>
      </x:c>
      <x:c r="B12" s="50" t="str">
        <x:v>Maintain an acquired normal target until it dies, matching the user's stationary-duel model. On normal acquisition choose the nearest legal enemy within the unit's targeting/reach rules; break ties deterministically. Ranged units make their normal initial approach only as needed. A new summon does not erase anyone's current target lock.</x:v>
      </x:c>
      <x:c r="C12" s="50" t="str">
        <x:v>Summoned mobile creatures use the same target-acquisition/death-switch framework; planted guardians, turrets and totems stay anchored. Temporary taunts/lures are explicit exceptions and do not rewrite normal-target history.</x:v>
      </x:c>
    </x:row>
    <x:row r="13" ht="135" customHeight="1">
      <x:c r="A13" s="49" t="str">
        <x:v>Protected trainer</x:v>
      </x:c>
      <x:c r="B13" s="50" t="str">
        <x:v>Deployment depth and normal targeting can protect the trainer, but rows do not grant abstract invulnerability in a free-space arena. Actual legal range, area geometry and line of attack govern damage. Secondary AoE can damage a trainer genuinely inside its stated radius; it cannot jump to the trainer merely because no other splash target exists.</x:v>
      </x:c>
      <x:c r="C13" s="50" t="str">
        <x:v>This supersedes v1's categorical protected-trainer splash exclusion. Spawned units appear on friendly/legal ground, never arbitrarily behind an intact enemy line or inside a boss to bypass acquisition.</x:v>
      </x:c>
    </x:row>
    <x:row r="14" ht="122.5" customHeight="1">
      <x:c r="A14" s="49" t="str">
        <x:v>Reach and taunt</x:v>
      </x:c>
      <x:c r="B14" s="50" t="str">
        <x:v>Temporary taunts affect only eligible enemies that can already attack the taunter without forced relocation; restore normal locks afterward. Summons have their listed reach and do not force enemies to approach merely because they spawned. Resin Screen is a projectile interception surface, not a movement wall.</x:v>
      </x:c>
      <x:c r="C14" s="50" t="str">
        <x:v>No move-speed bonuses, knockback-dependent combos, or sealed navigation corridors are introduced. Boss immunity to a taunt/lure is explicit encounter data, not silently assumed.</x:v>
      </x:c>
    </x:row>
    <x:row r="15" ht="135" customHeight="1">
      <x:c r="A15" s="49" t="str">
        <x:v>Target-switch triggers</x:v>
      </x:c>
      <x:c r="B15" s="50" t="str">
        <x:v>An initial acquisition may trigger an opening bonus if written. Later target-switch bonuses require the original normal encounter target to die and a new eligible encounter target to be acquired. Taunts, Ink Double lures, returning to a former target, summon expiry, structure replacement, and attacks on disposable summoned fodder cannot farm them.</x:v>
      </x:c>
      <x:c r="C15" s="50" t="str">
        <x:v>This applies to Fresh Page, Veilheron, Silkstep and comparable original kits. Owner kills and summons killing an enemy may be recorded for UI, but only the specified owner/core event grants a passive reward.</x:v>
      </x:c>
    </x:row>
    <x:row r="16" ht="122.5" customHeight="1">
      <x:c r="A16" s="49" t="str">
        <x:v>Support target selection</x:v>
      </x:c>
      <x:c r="B16" s="50" t="str">
        <x:v>In this roster, unspecified ally / all allies / other ally means core party members: trainer and the two equipped monsters, not temporary creatures or structures. Select the lowest-HP% living core ally; prioritize the trainer at or below 55%. Existing self-only / trainer-only / assigned-ally clauses override this.</x:v>
      </x:c>
      <x:c r="C16" s="50" t="str">
        <x:v>A skill must explicitly name summons to heal/buff them. Current general heals, team wards, Rally, Echochime, auras and core-ally resource triggers never scale up just because 10 pets exist. Zone support also requires being inside the radius.</x:v>
      </x:c>
    </x:row>
    <x:row r="17" ht="110" customHeight="1">
      <x:c r="A17" s="49" t="str">
        <x:v>Pending healing</x:v>
      </x:c>
      <x:c r="B17" s="50" t="str">
        <x:v>Track delayed Glowseed heals and scheduled nearby Nightlight Cap / Guardian Spirit recovery when choosing a heal target. Do not count a destructible future pulse as guaranteed survival; emergency heals should still fire when the trainer is in danger.</x:v>
      </x:c>
      <x:c r="C17" s="50" t="str">
        <x:v>Avoid wasting every ready heal on one almost-full target. Do not defer rescue solely because a fragile totem promises a later pulse.</x:v>
      </x:c>
    </x:row>
    <x:row r="18" ht="85" customHeight="1">
      <x:c r="A18" s="49" t="str">
        <x:v>Damage notation</x:v>
      </x:c>
      <x:c r="B18" s="50" t="str">
        <x:v>A = caster ATK; M = caster MATK; H = caster maximum HP. P = the caster's primary offensive stat: A for STR/DEX species, M for INT species. A coefficient such as 1.40 A is a pre-mitigation damage or support amount.</x:v>
      </x:c>
      <x:c r="C18" s="50" t="str">
        <x:v>If recipient maximum HP is intended, it is written explicitly. H never silently means enemy or trainer HP.</x:v>
      </x:c>
    </x:row>
    <x:row r="19" ht="85" customHeight="1">
      <x:c r="A19" s="49" t="str">
        <x:v>Stat base vs delivery</x:v>
      </x:c>
      <x:c r="B19" s="50" t="str">
        <x:v>Keep the CSV's attack base. STR and DEX species use their respective ATK derivation; INT species use MATK for ordinary attacks in this prototype. A unit can be a melee INT fighter or a ranged STR attacker.</x:v>
      </x:c>
      <x:c r="C19" s="50" t="str">
        <x:v>Damage type and scaling stat are independent: for example, Prismspear can deal magic damage that still scales from A. That does not require MATK investment.</x:v>
      </x:c>
    </x:row>
    <x:row r="20" ht="97.5" customHeight="1">
      <x:c r="A20" s="49" t="str">
        <x:v>Five true split-stat branches</x:v>
      </x:c>
      <x:c r="B20" s="50" t="str">
        <x:v>Only Fluffyak, Whistlepod, Grinroot, Tideotter, and Mossling receive a deliberate optional MATK healing branch on an otherwise physical species. Their alternate physical/protection builds do not require that branch.</x:v>
      </x:c>
      <x:c r="C20" s="50" t="str">
        <x:v>HP + MATK on an INT tank/support is ordinary role investment, not an additional ATK/MATK hybrid. Keep the explicit dual-offensive-stat subset small.</x:v>
      </x:c>
    </x:row>
    <x:row r="21" ht="122.5" customHeight="1">
      <x:c r="A21" s="49" t="str">
        <x:v>Primary and secondary effects</x:v>
      </x:c>
      <x:c r="B21" s="50" t="str">
        <x:v>Each cast has one primary effect for amplification/copying. Per-cast flat resource bonuses apply once to that primary target, not to every hit, pet, or AoE recipient. Deployment is a distinct primary category: Echochime cannot copy it. Skill text overrides only where it explicitly describes an allowed entity interaction.</x:v>
      </x:c>
      <x:c r="C21" s="50" t="str">
        <x:v>AoE secondary hits and summon output do not recursively trigger owner passives. Maskin's third-cast deployment bonus has its own explicit one-time ward instead of attempting to amplify summon count.</x:v>
      </x:c>
    </x:row>
    <x:row r="22" ht="147.5" customHeight="1">
      <x:c r="A22" s="49" t="str">
        <x:v>Criticals and hit checks</x:v>
      </x:c>
      <x:c r="B22" s="50" t="str">
        <x:v>Retain the working owner-combat convention: physical attacks use HIT vs FLEE and may crit only if landed; magic bypasses ordinary FLEE. A multi-hit single-target active shares its hit/crit and owner-proc event. An AoE checks each distinct target independently but grants at most one owner resource event unless specified. Summons and structures do not inherit crit, ASPD or general proc effects.</x:v>
      </x:c>
      <x:c r="C22" s="50" t="str">
        <x:v>Different from classic Ragnarok critical rules unless the final combat engine says otherwise. Structures have no dodge and zero DEF/MDEF by default; creatures inherit 50% owner DEF/MDEF plus owner HIT at creation.</x:v>
      </x:c>
    </x:row>
    <x:row r="23" ht="97.5" customHeight="1">
      <x:c r="A23" s="49" t="str">
        <x:v>Percentages vs ratings</x:v>
      </x:c>
      <x:c r="B23" s="50" t="str">
        <x:v>A CRIT change in percentage points modifies chance directly. HIT/FLEE changes are flat ratings. A reduction of physical/magic mitigation by 6 percentage points means, for example, 40% mitigation becomes 34%; it is not a 6% stat reduction.</x:v>
      </x:c>
      <x:c r="C23" s="50" t="str">
        <x:v>Map these placeholders to the final DEF/MDEF formula before balancing. Species base stat tables were not included in the CSV.</x:v>
      </x:c>
    </x:row>
    <x:row r="24" ht="97.5" customHeight="1">
      <x:c r="A24" s="49" t="str">
        <x:v>Attack speed</x:v>
      </x:c>
      <x:c r="B24" s="50" t="str">
        <x:v>Attack-interval changes affect actual basic-attack time, not active cooldowns or movement. A 12% shorter interval multiplies the current eligible base interval by 0.88. Same-category tempo buffs use the strongest active value.</x:v>
      </x:c>
      <x:c r="C24" s="50" t="str">
        <x:v>Proposed temporary-buff cap: at most 30% shorter interval relative to the unit's stat-derived interval. Do not treat +10 ASPD as +10% attacks per second.</x:v>
      </x:c>
    </x:row>
    <x:row r="25" ht="110" customHeight="1">
      <x:c r="A25" s="49" t="str">
        <x:v>Mitigation and debuff stacking</x:v>
      </x:c>
      <x:c r="B25" s="50" t="str">
        <x:v>Same named effects refresh rather than stack. Same-category HIT/FLEE penalties, armor exposure, and basic-interval penalties use the strongest value. Different percentage damage reductions multiply; provisional cap for temporary direct-damage reduction is 60%, separate from base armor.</x:v>
      </x:c>
      <x:c r="C25" s="50" t="str">
        <x:v>Class passives and monster effects need the same category tags. Prototype caps are guardrails, not claimed final balance.</x:v>
      </x:c>
    </x:row>
    <x:row r="26" ht="110" customHeight="1">
      <x:c r="A26" s="49" t="str">
        <x:v>Shields</x:v>
      </x:c>
      <x:c r="B26" s="50" t="str">
        <x:v>A shield from the same named effect refreshes to the stronger remaining/new value rather than adding. Different shields may coexist, but cap total temporary shielding at 25% of the recipient's maximum HP in the initial prototype. Shields never revive a dead unit.</x:v>
      </x:c>
      <x:c r="C26" s="50" t="str">
        <x:v>A shield-break proc requires depletion by enemy damage, not expiry, replacement, or dispel. Damage bonuses 'to shields only' cannot increase the leftover HP damage beyond ordinary overflow.</x:v>
      </x:c>
    </x:row>
    <x:row r="27" ht="160" customHeight="1">
      <x:c r="A27" s="49" t="str">
        <x:v>Redirect / interception</x:v>
      </x:c>
      <x:c r="B27" s="50" t="str">
        <x:v>For ordinary direct targeted damage, apply the intended recipient's mitigation and shields, then choose only the eligible interceptor with the largest diversion percentage, breaking ties by HP% then stable ID. Divert at most 35% of remaining HP damage, and never more than the interceptor's remaining HP. Apply transferred damage as direct HP loss; any budget shortfall stays on the original recipient.</x:v>
      </x:c>
      <x:c r="C27" s="50" t="str">
        <x:v>No second mitigation/shield pass, recursion, deferred damage, Slag/resource gain, or double interception. Guardian summon skills explicitly exclude area damage; ordinary core-unit redirection keeps its written direct-damage scope. Resin Screen instead intercepts projectile power before recipient calculation.</x:v>
      </x:c>
    </x:row>
    <x:row r="28" ht="110" customHeight="1">
      <x:c r="A28" s="49" t="str">
        <x:v>Anti-burst and pre-lethal ordering</x:v>
      </x:c>
      <x:c r="B28" s="50" t="str">
        <x:v>Keepsake's emergency ward, Glassphoenix's personal save, Cloudfin's delay, and Ambercolossus's capped prevention require explicit pre-HP-loss handling. Recalculate the remaining damage after a preventative shield is added. Normal post-hit heals only happen after the victim survived.</x:v>
      </x:c>
      <x:c r="C28" s="50" t="str">
        <x:v>Resolve a skill's primary and secondary damage before post-damage healing/retaliation, then enforce trainer defeat. Test combined prevention/interception cases separately.</x:v>
      </x:c>
    </x:row>
    <x:row r="29" ht="135" customHeight="1">
      <x:c r="A29" s="49" t="str">
        <x:v>Hard control</x:v>
      </x:c>
      <x:c r="B29" s="50" t="str">
        <x:v>Keep short action locks, existing per-category 2s post-recovery immunity, and no serial trainer stun-lock. Silence blocks actives, not basic attacks. Bosses have explicit encounter tags for taunt/lure/interrupt immunity and resistance to tempo/HIT/debuff effects. Ordinary damage or shields still work unless separately resisted.</x:v>
      </x:c>
      <x:c r="C29" s="50" t="str">
        <x:v>Never let several pets each reapply a controlling owner passive. A species may be a matchup specialist; it does not need an invented universal anti-boss disable.</x:v>
      </x:c>
    </x:row>
    <x:row r="30" ht="122.5" customHeight="1">
      <x:c r="A30" s="49" t="str">
        <x:v>Proc and resource safeguards</x:v>
      </x:c>
      <x:c r="B30" s="50" t="str">
        <x:v>One owner cast is one resource event unless the kit explicitly says otherwise. Generic owner on-hit, on-cast, ally-cast, ally-healed and ally-death passives exclude temporary-unit events. Pets cannot recursively summon pets or refresh their parent's cooldown. Shared caps apply across AoE hits and simultaneous deaths.</x:v>
      </x:c>
      <x:c r="C30" s="50" t="str">
        <x:v>Named exceptions are whitelisted: Queen ant attacks/marks, Emberorchid's first turret Pollen, Tempestool's first totem Spores, Moonweaver's Thread pulses, and the specified entity jobs. Temporary deaths never fuel Cairnkin, Ashskate or similar passives.</x:v>
      </x:c>
    </x:row>
    <x:row r="31" ht="147.5" customHeight="1">
      <x:c r="A31" s="49" t="str">
        <x:v>Summons and death effects</x:v>
      </x:c>
      <x:c r="B31" s="50" t="str">
        <x:v>Supersede the old cosmetic-only restriction: summoned creatures are real targetable entities with their own capped HP, actions and lifetime; structures are attackable objects; Imperial Hearth is an untargetable timed zone. Cindertroop and Maskin now have real detached units. Temporary deaths grant no XP/loot, on-kill bonuses, ally-death bonuses, corpses, or summon-on-death chains.</x:v>
      </x:c>
      <x:c r="C31" s="50" t="str">
        <x:v>Separate encounter enemies (bosses, normal waves, scripted adds deliberately tagged as encounter actors) from disposable skill summons. Only eligible encounter deaths can satisfy ordinary kill passives; killing a temporary unit remains useful for removing its combat contribution.</x:v>
      </x:c>
    </x:row>
    <x:row r="32" ht="122.5" customHeight="1">
      <x:c r="A32" s="49" t="str">
        <x:v>Snapshot and expiry</x:v>
      </x:c>
      <x:c r="B32" s="50" t="str">
        <x:v>Snapshot owner A/M/H/HIT/DEF/MDEF at entity creation; only listed coefficients and traits are inherited. Owner buffs do not get copied again as duplicate multipliers. All owned summoned entities and anchored zones disappear when the owner dies; trainer death immediately terminates combat and cancels all later effects.</x:v>
      </x:c>
      <x:c r="C32" s="50" t="str">
        <x:v>This owner-death cleanup overrides v1's persistence for newly added entity effects. Existing launched non-summon projectiles/delayed effects can retain their original rule while battle remains active. Entity replacement/expiry/despawn is not an enemy-caused death.</x:v>
      </x:c>
    </x:row>
    <x:row r="33" ht="122.5" customHeight="1">
      <x:c r="A33" s="49" t="str">
        <x:v>Scope not specified</x:v>
      </x:c>
      <x:c r="B33" s="50" t="str">
        <x:v>The user confirmed free arena space, one-to-many enemy encounters, and summoning/structure capability. Still unspecified: actual growth/stat tables, equipment budgets, class skills, range units, collision/line-of-sight math, SP costs, attack cadence, encounter control tags and target-AI priorities.</x:v>
      </x:c>
      <x:c r="C33" s="50" t="str">
        <x:v>The previous 4/8/12 timing tiers and party/targeting conventions remain explicit design proposals. No absolute DPS, kill time, win rate, mana balance or final engine feasibility is claimed.</x:v>
      </x:c>
    </x:row>
    <x:row r="34" ht="97.5" customHeight="1">
      <x:c r="A34" s="49" t="str">
        <x:v>Balance target</x:v>
      </x:c>
      <x:c r="B34" s="50" t="str">
        <x:v>Measure time-to-trainer-death, not just total team HP or total damage. A front knight exposes the loss-condition unit immediately; a back mage may have multiple monsters shielding access before its own HP is tested.</x:v>
      </x:c>
      <x:c r="C34" s="50" t="str">
        <x:v>Test equal-investment knight/mage/druid/hunter teams at the same level. Make frontline-trainer compensation part of class/formation balance instead of requiring every monster to be a bodyguard.</x:v>
      </x:c>
    </x:row>
    <x:row r="35" ht="85" customHeight="1">
      <x:c r="A35" s="49" t="str">
        <x:v>Suggested test windows</x:v>
      </x:c>
      <x:c r="B35" s="50" t="str">
        <x:v>Prototype 8s, 12s and 20s windows for a single boss without adds, boss with scripted adds, 5-8-enemy packs, and separated ranged enemies. Include strong area damage, node destruction and a rapid target-switch encounter.</x:v>
      </x:c>
      <x:c r="C35" s="50" t="str">
        <x:v>These are test cases, not encounter-size caps. Compare time-to-trainer-death, damage before death, pet uptime, attacks diverted, support cast allocation, cap compliance and frame/AI cost.</x:v>
      </x:c>
    </x:row>
    <x:row r="36" ht="110" customHeight="1">
      <x:c r="A36" s="49" t="str">
        <x:v>First prototype slice</x:v>
      </x:c>
      <x:c r="B36" s="50" t="str">
        <x:v>Add Cindertroop (real swarm), Glowcap (healing object), Resinrook (projectile screen), Moonweaver (anchored zone), and Emberorchid (turret) to a small set of ordinary tank/damage/support monsters. Then test Maskin, Crucibulk and Pinstitch's more involved interactions.</x:v>
      </x:c>
      <x:c r="C36" s="50" t="str">
        <x:v>Keep ordinary species relevant; the new entity must consume an ability's power budget rather than being a free extra fully-stat-scaled party member.</x:v>
      </x:c>
    </x:row>
    <x:row r="37" ht="122.5" customHeight="1">
      <x:c r="A37" s="49" t="str">
        <x:v>Validation actually performed</x:v>
      </x:c>
      <x:c r="B37" s="50" t="str">
        <x:v>Validate all 100 source species once, preserve every original source field, keep one passive and two different three-slot loadouts each, and validate 3-4 unique signature options per species. Check every loadout against its owner's legal provisional tier and check entity caps, lifetimes, trigger budgets and source-to-build names.</x:v>
      </x:c>
      <x:c r="C37" s="50" t="str">
        <x:v>Structural and editorial checks only. Coefficients and targeting choices have not been simulated or tested inside Huntaria.</x:v>
      </x:c>
    </x:row>
    <x:row r="38" ht="97.5" customHeight="1">
      <x:c r="A38" s="50" t="str">
        <x:v>v2 scope and preservation</x:v>
      </x:c>
      <x:c r="B38" s="50" t="str">
        <x:v>14 species receive summon/structure/zone reworks, 6 receive narrow boss/group fixes, and 80 retain their original kit. No original attack base, main role, visual description or hybrid flag changes.</x:v>
      </x:c>
      <x:c r="C38" s="50" t="str">
        <x:v>All content is a proposal against the supplied CSV and previous roster; no external source or engine implementation is implied.</x:v>
      </x:c>
    </x:row>
    <x:row r="39" ht="110" customHeight="1">
      <x:c r="A39" s="50" t="str">
        <x:v>Spatial unit R</x:v>
      </x:c>
      <x:c r="B39" s="50" t="str">
        <x:v>R is a prototype distance unit: one ordinary melee-reach distance, not a row or character diameter. An explicit 1.5R/2R radius is measured from a fixed cast point. Choose anchors that already cover the intended fight; never rely on an enemy moving into a trap.</x:v>
      </x:c>
      <x:c r="C39" s="50" t="str">
        <x:v>Replace R with engine world units after testing. A large boss is one target even when its collision shape overlaps multiple points; use one canonical hitbox ID and circle-to-shape overlap for coverage.</x:v>
      </x:c>
    </x:row>
    <x:row r="40" ht="110" customHeight="1">
      <x:c r="A40" s="50" t="str">
        <x:v>Entity caps and recasting</x:v>
      </x:c>
      <x:c r="B40" s="50" t="str">
        <x:v>Use each listed per-owner cap, not an arena-wide three-enemy cap. At capacity, a deployment waits unless the skill explicitly replenishes missing units. New entities do not heal or refresh old ones unless written; default recasts do not recycle death procs.</x:v>
      </x:c>
      <x:c r="C40" s="50" t="str">
        <x:v>Cindertroop can have at most 3 soldiers and 1 shield ant, Maskin 2 detached spirits total, Elderroot 2 wardens, Lumimoth 2 lights, Saffrune one of each rune; other new deployables cap at one.</x:v>
      </x:c>
    </x:row>
    <x:row r="41" ht="135" customHeight="1">
      <x:c r="A41" s="50" t="str">
        <x:v>Summon budget and inheritance</x:v>
      </x:c>
      <x:c r="B41" s="50" t="str">
        <x:v>Budget the owner's output plus every summon's damage, effective HP, intercepted attacks and support together. Fixed attack clocks/lifetimes make summon damage independent of owner ASPD. Destructible structures have no dodge or defense by default; guardian transfer damage always bypasses their own mitigation.</x:v>
      </x:c>
      <x:c r="C41" s="50" t="str">
        <x:v>Do not give a summon the owner's full HP, complete skills, equipment procs, crit engine or healing-target privileges. Per-species caps are power-budget guardrails, not a claim about final performance limits.</x:v>
      </x:c>
    </x:row>
    <x:row r="42" ht="135" customHeight="1">
      <x:c r="A42" s="50" t="str">
        <x:v>Placement and path safety</x:v>
      </x:c>
      <x:c r="B42" s="50" t="str">
        <x:v>Automatically choose an unoccupied legal point near the caster, protected ally, or reachable target as specified. No hostile-side teleport/backline bypass; no overlapping boss hitboxes; no displacement of current fighters. These deployables are non-blocking for movement; Resin Screen blocks eligible projectiles only.</x:v>
      </x:c>
      <x:c r="C42" s="50" t="str">
        <x:v>If no valid point exists, a deployment-only cast waits without spending cooldown. Inksprite's combined damage/decoy cast has its explicit damage-only fallback.</x:v>
      </x:c>
    </x:row>
    <x:row r="43" ht="122.5" customHeight="1">
      <x:c r="A43" s="50" t="str">
        <x:v>Boss and group AoE policy</x:v>
      </x:c>
      <x:c r="B43" s="50" t="str">
        <x:v>AoE has an explicit radius, target cap and per-target amount; choose current/primary target first, then nearest distinct enemies with stable ties. Never duplicate missing splash slots onto a lone boss or multiply by the boss's model size. Retarget on a pulse only for zone coverage, not as extra normal-target-switch events.</x:v>
      </x:c>
      <x:c r="C43" s="50" t="str">
        <x:v>Existing v1 skills that name the other enemy were rewritten. Ordinary all-core-ally support still has at most the three original party members; enemies and temporary units use their own tags.</x:v>
      </x:c>
    </x:row>
    <x:row r="44" ht="110" customHeight="1">
      <x:c r="A44" s="50" t="str">
        <x:v>Pulse / lifetime event ordering</x:v>
      </x:c>
      <x:c r="B44" s="50" t="str">
        <x:v>Use the exact listed pulse times. Creature first strikes occur after their explicit 0.5s wind-up, then fixed intervals until the listed lifetime or shot budget. At equal timestamps, resolve pending lethal damage/owner removal first; a dead owner cannot emit another pulse.</x:v>
      </x:c>
      <x:c r="C44" s="50" t="str">
        <x:v>No actions occur after terminal trainer defeat. Do not add a final extra tick merely because lifetime and cooldown share a timestamp.</x:v>
      </x:c>
    </x:row>
    <x:row r="45" ht="147.5" customHeight="1">
      <x:c r="A45" s="50" t="str">
        <x:v>Projectile-screen specification</x:v>
      </x:c>
      <x:c r="B45" s="50" t="str">
        <x:v>Mark blockable non-piercing single-target projectiles explicitly. At the first allied Resin Screen intersection, the screen consumes raw projectile power up to its HP. Residual power, if any, continues to the intended target and is mitigated there once. One allied screen maximum per projectile; target-directed secondary status effects require actual contact with the target.</x:v>
      </x:c>
      <x:c r="C45" s="50" t="str">
        <x:v>This is a proposed collision/overflow model, not an existing Huntaria feature. Beams, piercing shots, melee, ground hazards, friendly shots and explosions bypass it. Test both visual clarity and damage-order invariants.</x:v>
      </x:c>
    </x:row>
  </x:sheetData>
  <x:mergeCells>
    <x:mergeCell ref="A1:C2"/>
    <x:mergeCell ref="A3:C3"/>
  </x:mergeCells>
  <x:pageMargins left="0.7" right="0.7" top="0.75" bottom="0.75" header="0.3" footer="0.3"/>
  <x:tableParts count="1">
    <x:tablePart xmlns:r="http://schemas.openxmlformats.org/officeDocument/2006/relationships" r:id="R36e5bee28f7041ae"/>
  </x:tableParts>
</x:worksheet>
</file>

<file path=xl/worksheets/sheet7.xml><?xml version="1.0" encoding="utf-8"?>
<x:worksheet xmlns:x="http://schemas.openxmlformats.org/spreadsheetml/2006/main">
  <x:sheetFormatPr defaultRowHeight="15"/>
  <x:cols>
    <x:col min="1" max="1" width="6" hidden="0" customWidth="1"/>
    <x:col min="2" max="2" width="20" hidden="0" customWidth="1"/>
    <x:col min="3" max="3" width="40" hidden="0" customWidth="1"/>
    <x:col min="4" max="4" width="18" hidden="0" customWidth="1"/>
    <x:col min="5" max="5" width="17" hidden="0" customWidth="1"/>
    <x:col min="6" max="6" width="17" hidden="0" customWidth="1"/>
    <x:col min="7" max="7" width="23" hidden="0" customWidth="1"/>
    <x:col min="8" max="8" width="18" hidden="0" customWidth="1"/>
  </x:cols>
  <x:sheetData>
    <x:row r="1" ht="19" customHeight="1">
      <x:c r="A1" s="10" t="str">
        <x:v>HUNTARIA  |  UNCHANGED SOURCE ROSTER</x:v>
      </x:c>
      <x:c r="B1" s="10"/>
      <x:c r="C1" s="10"/>
      <x:c r="D1" s="10"/>
      <x:c r="E1" s="10"/>
      <x:c r="F1" s="10"/>
      <x:c r="G1" s="10"/>
      <x:c r="H1" s="10"/>
    </x:row>
    <x:row r="2" ht="19" customHeight="1">
      <x:c r="A2" s="10"/>
      <x:c r="B2" s="10"/>
      <x:c r="C2" s="10"/>
      <x:c r="D2" s="10"/>
      <x:c r="E2" s="10"/>
      <x:c r="F2" s="10"/>
      <x:c r="G2" s="10"/>
      <x:c r="H2" s="10"/>
    </x:row>
    <x:row r="3" ht="32" customHeight="1">
      <x:c r="A3" s="14" t="str">
        <x:v>Original eight columns preserved verbatim from the user-supplied Huntaria - Rework.csv.</x:v>
      </x:c>
      <x:c r="B3" s="14"/>
      <x:c r="C3" s="14"/>
      <x:c r="D3" s="14"/>
      <x:c r="E3" s="14"/>
      <x:c r="F3" s="14"/>
      <x:c r="G3" s="14"/>
      <x:c r="H3" s="14"/>
    </x:row>
    <x:row r="4" ht="9" customHeight="1">
      <x:c r="A4" s="4"/>
      <x:c r="B4" s="4"/>
      <x:c r="C4" s="4"/>
      <x:c r="D4" s="4"/>
      <x:c r="E4" s="4"/>
      <x:c r="F4" s="4"/>
      <x:c r="G4" s="4"/>
      <x:c r="H4" s="4"/>
    </x:row>
    <x:row r="5" ht="32" customHeight="1">
      <x:c r="A5" s="18" t="str">
        <x:v>#</x:v>
      </x:c>
      <x:c r="B5" s="18" t="str">
        <x:v>Monster</x:v>
      </x:c>
      <x:c r="C5" s="18" t="str">
        <x:v>Visual description</x:v>
      </x:c>
      <x:c r="D5" s="18" t="str">
        <x:v>Main role</x:v>
      </x:c>
      <x:c r="E5" s="18" t="str">
        <x:v>Primary appeal</x:v>
      </x:c>
      <x:c r="F5" s="18" t="str">
        <x:v>Secondary appeal</x:v>
      </x:c>
      <x:c r="G5" s="18" t="str">
        <x:v>Inspiration family</x:v>
      </x:c>
      <x:c r="H5" s="18" t="str">
        <x:v>Atk Base</x:v>
      </x:c>
    </x:row>
    <x:row r="6" ht="68" customHeight="1">
      <x:c r="A6" s="22" t="str">
        <x:v>1</x:v>
      </x:c>
      <x:c r="B6" s="4" t="str">
        <x:v>Tuskettle</x:v>
      </x:c>
      <x:c r="C6" s="4" t="str">
        <x:v>A low, round boar with a huge acorn-cup shoulder plate, tiny rear legs and blunt tusks that tuck neatly under its chin.</x:v>
      </x:c>
      <x:c r="D6" s="4" t="str">
        <x:v>Tank</x:v>
      </x:c>
      <x:c r="E6" s="4" t="str">
        <x:v>Protective</x:v>
      </x:c>
      <x:c r="F6" s="4" t="str">
        <x:v>Cute</x:v>
      </x:c>
      <x:c r="G6" s="4" t="str">
        <x:v>Beast</x:v>
      </x:c>
      <x:c r="H6" s="4" t="str">
        <x:v>Strength-based</x:v>
      </x:c>
    </x:row>
    <x:row r="7" ht="68" customHeight="1">
      <x:c r="A7" s="22" t="str">
        <x:v>2</x:v>
      </x:c>
      <x:c r="B7" s="4" t="str">
        <x:v>Wickeep</x:v>
      </x:c>
      <x:c r="C7" s="4" t="str">
        <x:v>A small wax being with drooping sleeves, a worried little face and broad hands cupped around the soul-flame on its head.</x:v>
      </x:c>
      <x:c r="D7" s="4" t="str">
        <x:v>DPS</x:v>
      </x:c>
      <x:c r="E7" s="4" t="str">
        <x:v>Cute</x:v>
      </x:c>
      <x:c r="F7" s="4" t="str">
        <x:v>Protective</x:v>
      </x:c>
      <x:c r="G7" s="4" t="str">
        <x:v>Haunted object</x:v>
      </x:c>
      <x:c r="H7" s="4" t="str">
        <x:v>Dex-Based</x:v>
      </x:c>
    </x:row>
    <x:row r="8" ht="68" customHeight="1">
      <x:c r="A8" s="22" t="str">
        <x:v>3</x:v>
      </x:c>
      <x:c r="B8" s="4" t="str">
        <x:v>Lunaskein</x:v>
      </x:c>
      <x:c r="C8" s="4" t="str">
        <x:v>A floating ribbon forms a long, hollow body around a crescent face; its two tapered ends curl like expressive ears.</x:v>
      </x:c>
      <x:c r="D8" s="4" t="str">
        <x:v>DPS / Supp</x:v>
      </x:c>
      <x:c r="E8" s="4" t="str">
        <x:v>Majestic</x:v>
      </x:c>
      <x:c r="F8" s="4" t="str">
        <x:v>Cunning</x:v>
      </x:c>
      <x:c r="G8" s="4" t="str">
        <x:v>Elemental / abstract</x:v>
      </x:c>
      <x:c r="H8" s="4" t="str">
        <x:v>Int-Based</x:v>
      </x:c>
    </x:row>
    <x:row r="9" ht="68" customHeight="1">
      <x:c r="A9" s="22" t="str">
        <x:v>4</x:v>
      </x:c>
      <x:c r="B9" s="4" t="str">
        <x:v>Slagjaw</x:v>
      </x:c>
      <x:c r="C9" s="4" t="str">
        <x:v>A squat black-stone construct with a huge hinged lower jaw, pillar-like arms and two soft amber eyes beneath a heavy brow.</x:v>
      </x:c>
      <x:c r="D9" s="4" t="str">
        <x:v>Tank</x:v>
      </x:c>
      <x:c r="E9" s="4" t="str">
        <x:v>Ferocious</x:v>
      </x:c>
      <x:c r="F9" s="4" t="str">
        <x:v>Protective</x:v>
      </x:c>
      <x:c r="G9" s="4" t="str">
        <x:v>Construct</x:v>
      </x:c>
      <x:c r="H9" s="4" t="str">
        <x:v>Strength-based</x:v>
      </x:c>
    </x:row>
    <x:row r="10" ht="68" customHeight="1">
      <x:c r="A10" s="22" t="str">
        <x:v>5</x:v>
      </x:c>
      <x:c r="B10" s="4" t="str">
        <x:v>Bellowsnout</x:v>
      </x:c>
      <x:c r="C10" s="4" t="str">
        <x:v>A barrel-bodied boar with an accordion-fold chest, a flattened shovel snout and copper-colored bristles swept into one crest.</x:v>
      </x:c>
      <x:c r="D10" s="4" t="str">
        <x:v>Fighter</x:v>
      </x:c>
      <x:c r="E10" s="4" t="str">
        <x:v>Ferocious</x:v>
      </x:c>
      <x:c r="F10" s="4" t="str">
        <x:v>Oddball</x:v>
      </x:c>
      <x:c r="G10" s="4" t="str">
        <x:v>Beast</x:v>
      </x:c>
      <x:c r="H10" s="4" t="str">
        <x:v>Strength-based</x:v>
      </x:c>
    </x:row>
    <x:row r="11" ht="68" customHeight="1">
      <x:c r="A11" s="22" t="str">
        <x:v>6</x:v>
      </x:c>
      <x:c r="B11" s="4" t="str">
        <x:v>Dreamtapir</x:v>
      </x:c>
      <x:c r="C11" s="4" t="str">
        <x:v>A drowsy tapir with a pillow-fold back, a long drooping snout and small bubble-like pockets visible beneath its soft belly.</x:v>
      </x:c>
      <x:c r="D11" s="4" t="str">
        <x:v>DPS / Supp</x:v>
      </x:c>
      <x:c r="E11" s="4" t="str">
        <x:v>Cute</x:v>
      </x:c>
      <x:c r="F11" s="4" t="str">
        <x:v>Uncanny</x:v>
      </x:c>
      <x:c r="G11" s="4" t="str">
        <x:v>Beast</x:v>
      </x:c>
      <x:c r="H11" s="4" t="str">
        <x:v>Int-Based</x:v>
      </x:c>
    </x:row>
    <x:row r="12" ht="68" customHeight="1">
      <x:c r="A12" s="22" t="str">
        <x:v>7</x:v>
      </x:c>
      <x:c r="B12" s="4" t="str">
        <x:v>Inkmarten</x:v>
      </x:c>
      <x:c r="C12" s="4" t="str">
        <x:v>A long, low marten with oversized silent paws, a brush-tip tail and a dark face broken by two narrow white cheek marks.</x:v>
      </x:c>
      <x:c r="D12" s="4" t="str">
        <x:v>DPS</x:v>
      </x:c>
      <x:c r="E12" s="4" t="str">
        <x:v>Cunning</x:v>
      </x:c>
      <x:c r="F12" s="4" t="str">
        <x:v>Cute</x:v>
      </x:c>
      <x:c r="G12" s="4" t="str">
        <x:v>Beast</x:v>
      </x:c>
      <x:c r="H12" s="4" t="str">
        <x:v>Dex-Based</x:v>
      </x:c>
    </x:row>
    <x:row r="13" ht="68" customHeight="1">
      <x:c r="A13" s="22" t="str">
        <x:v>8</x:v>
      </x:c>
      <x:c r="B13" s="4" t="str">
        <x:v>Brimble</x:v>
      </x:c>
      <x:c r="C13" s="4" t="str">
        <x:v>A stubby imp with tiny blunt horns, warm ember eyes and an enormous spade-shaped tail that wraps around it like a blanket.</x:v>
      </x:c>
      <x:c r="D13" s="4" t="str">
        <x:v>Fighter</x:v>
      </x:c>
      <x:c r="E13" s="4" t="str">
        <x:v>Cute</x:v>
      </x:c>
      <x:c r="F13" s="4" t="str">
        <x:v>Cunning</x:v>
      </x:c>
      <x:c r="G13" s="4" t="str">
        <x:v>Demon / fiend</x:v>
      </x:c>
      <x:c r="H13" s="4" t="str">
        <x:v>Strength-based</x:v>
      </x:c>
    </x:row>
    <x:row r="14" ht="68" customHeight="1">
      <x:c r="A14" s="22" t="str">
        <x:v>9</x:v>
      </x:c>
      <x:c r="B14" s="4" t="str">
        <x:v>Cinderknuckle</x:v>
      </x:c>
      <x:c r="C14" s="4" t="str">
        <x:v>A broad little fiend with oversized charcoal fists, short curled horns and a tiny round face tucked between its shoulders.</x:v>
      </x:c>
      <x:c r="D14" s="4" t="str">
        <x:v>Fighter</x:v>
      </x:c>
      <x:c r="E14" s="4" t="str">
        <x:v>Ferocious</x:v>
      </x:c>
      <x:c r="F14" s="4" t="str">
        <x:v>Cute</x:v>
      </x:c>
      <x:c r="G14" s="4" t="str">
        <x:v>Demon / fiend</x:v>
      </x:c>
      <x:c r="H14" s="4" t="str">
        <x:v>Int-Based</x:v>
      </x:c>
    </x:row>
    <x:row r="15" ht="68" customHeight="1">
      <x:c r="A15" s="22" t="str">
        <x:v>10</x:v>
      </x:c>
      <x:c r="B15" s="4" t="str">
        <x:v>Fluffyak</x:v>
      </x:c>
      <x:c r="C15" s="4" t="str">
        <x:v>A short-legged yak with a sweeping wool skirt, wide curled horns and a gentle face almost lost beneath its thick fringe.</x:v>
      </x:c>
      <x:c r="D15" s="4" t="str">
        <x:v>Tank / Supp</x:v>
      </x:c>
      <x:c r="E15" s="4" t="str">
        <x:v>Protective</x:v>
      </x:c>
      <x:c r="F15" s="4" t="str">
        <x:v>Cute</x:v>
      </x:c>
      <x:c r="G15" s="4" t="str">
        <x:v>Beast</x:v>
      </x:c>
      <x:c r="H15" s="4" t="str">
        <x:v>Strength-based</x:v>
      </x:c>
    </x:row>
    <x:row r="16" ht="68" customHeight="1">
      <x:c r="A16" s="22" t="str">
        <x:v>11</x:v>
      </x:c>
      <x:c r="B16" s="4" t="str">
        <x:v>Shardclaw</x:v>
      </x:c>
      <x:c r="C16" s="4" t="str">
        <x:v>A low, long-bodied cat with one oversized translucent foreclaw, a narrow wedge-shaped head and a thick balancing tail.</x:v>
      </x:c>
      <x:c r="D16" s="4" t="str">
        <x:v>DPS</x:v>
      </x:c>
      <x:c r="E16" s="4" t="str">
        <x:v>Ferocious</x:v>
      </x:c>
      <x:c r="F16" s="4" t="str">
        <x:v>Cunning</x:v>
      </x:c>
      <x:c r="G16" s="4" t="str">
        <x:v>Beast</x:v>
      </x:c>
      <x:c r="H16" s="4" t="str">
        <x:v>Dex-Based</x:v>
      </x:c>
    </x:row>
    <x:row r="17" ht="68" customHeight="1">
      <x:c r="A17" s="22" t="str">
        <x:v>12</x:v>
      </x:c>
      <x:c r="B17" s="4" t="str">
        <x:v>Hornvault</x:v>
      </x:c>
      <x:c r="C17" s="4" t="str">
        <x:v>A broad horned skull floats above a ring of pale ribs; little mitten-shaped bones hover beside its softly glowing eyes.</x:v>
      </x:c>
      <x:c r="D17" s="4" t="str">
        <x:v>Fighter</x:v>
      </x:c>
      <x:c r="E17" s="4" t="str">
        <x:v>Majestic</x:v>
      </x:c>
      <x:c r="F17" s="4" t="str">
        <x:v>Cute</x:v>
      </x:c>
      <x:c r="G17" s="4" t="str">
        <x:v>Skeletal / undead</x:v>
      </x:c>
      <x:c r="H17" s="4" t="str">
        <x:v>Int-Based</x:v>
      </x:c>
    </x:row>
    <x:row r="18" ht="68" customHeight="1">
      <x:c r="A18" s="22" t="str">
        <x:v>13</x:v>
      </x:c>
      <x:c r="B18" s="4" t="str">
        <x:v>Lilydeer</x:v>
      </x:c>
      <x:c r="C18" s="4" t="str">
        <x:v>A slender deer carries broad, shallow antlers like leafy shelves, with small buds nestled close to its long, gentle face.</x:v>
      </x:c>
      <x:c r="D18" s="4" t="str">
        <x:v>DPS / Supp</x:v>
      </x:c>
      <x:c r="E18" s="4" t="str">
        <x:v>Majestic</x:v>
      </x:c>
      <x:c r="F18" s="4" t="str">
        <x:v>Protective</x:v>
      </x:c>
      <x:c r="G18" s="4" t="str">
        <x:v>Beast</x:v>
      </x:c>
      <x:c r="H18" s="4" t="str">
        <x:v>Int-Based</x:v>
      </x:c>
    </x:row>
    <x:row r="19" ht="68" customHeight="1">
      <x:c r="A19" s="22" t="str">
        <x:v>14</x:v>
      </x:c>
      <x:c r="B19" s="4" t="str">
        <x:v>Pillowisp</x:v>
      </x:c>
      <x:c r="C19" s="4" t="str">
        <x:v>A squashy dream creature has four pillow-like corners, a crescent mouth and a long folded tip that droops over one eye.</x:v>
      </x:c>
      <x:c r="D19" s="4" t="str">
        <x:v>Supp</x:v>
      </x:c>
      <x:c r="E19" s="4" t="str">
        <x:v>Cute</x:v>
      </x:c>
      <x:c r="F19" s="4" t="str">
        <x:v>Oddball</x:v>
      </x:c>
      <x:c r="G19" s="4" t="str">
        <x:v>Elemental / abstract</x:v>
      </x:c>
      <x:c r="H19" s="4" t="str">
        <x:v>Int-Based</x:v>
      </x:c>
    </x:row>
    <x:row r="20" ht="68" customHeight="1">
      <x:c r="A20" s="22" t="str">
        <x:v>15</x:v>
      </x:c>
      <x:c r="B20" s="4" t="str">
        <x:v>Burrowlug</x:v>
      </x:c>
      <x:c r="C20" s="4" t="str">
        <x:v>A chunky tuber creature has root-mitten forearms, a tiny leafy crown and an earthy face set low in its broad belly.</x:v>
      </x:c>
      <x:c r="D20" s="4" t="str">
        <x:v>Tank</x:v>
      </x:c>
      <x:c r="E20" s="4" t="str">
        <x:v>Protective</x:v>
      </x:c>
      <x:c r="F20" s="4" t="str">
        <x:v>Oddball</x:v>
      </x:c>
      <x:c r="G20" s="4" t="str">
        <x:v>Plant / fungus</x:v>
      </x:c>
      <x:c r="H20" s="4" t="str">
        <x:v>Strength-based</x:v>
      </x:c>
    </x:row>
    <x:row r="21" ht="68" customHeight="1">
      <x:c r="A21" s="22" t="str">
        <x:v>16</x:v>
      </x:c>
      <x:c r="B21" s="4" t="str">
        <x:v>Cairnox</x:v>
      </x:c>
      <x:c r="C21" s="4" t="str">
        <x:v>A squat heap of rounded bones forms one huge arm and a tiny grinning skull, with a rib cage that sits slightly off-center.</x:v>
      </x:c>
      <x:c r="D21" s="4" t="str">
        <x:v>Fighter / Tank</x:v>
      </x:c>
      <x:c r="E21" s="4" t="str">
        <x:v>Ferocious</x:v>
      </x:c>
      <x:c r="F21" s="4" t="str">
        <x:v>Cute</x:v>
      </x:c>
      <x:c r="G21" s="4" t="str">
        <x:v>Skeletal / undead</x:v>
      </x:c>
      <x:c r="H21" s="4" t="str">
        <x:v>Strength-based</x:v>
      </x:c>
    </x:row>
    <x:row r="22" ht="68" customHeight="1">
      <x:c r="A22" s="22" t="str">
        <x:v>17</x:v>
      </x:c>
      <x:c r="B22" s="4" t="str">
        <x:v>Pebblepup</x:v>
      </x:c>
      <x:c r="C22" s="4" t="str">
        <x:v>A broad, pebble-bodied puppy has oversized paddle paws, a tiny stone tail and a muzzle that always looks slightly surprised.</x:v>
      </x:c>
      <x:c r="D22" s="4" t="str">
        <x:v>Fighter</x:v>
      </x:c>
      <x:c r="E22" s="4" t="str">
        <x:v>Cute</x:v>
      </x:c>
      <x:c r="F22" s="4" t="str">
        <x:v>Protective</x:v>
      </x:c>
      <x:c r="G22" s="4" t="str">
        <x:v>Beast</x:v>
      </x:c>
      <x:c r="H22" s="4" t="str">
        <x:v>Strength-based</x:v>
      </x:c>
    </x:row>
    <x:row r="23" ht="54" customHeight="1">
      <x:c r="A23" s="22" t="str">
        <x:v>18</x:v>
      </x:c>
      <x:c r="B23" s="4" t="str">
        <x:v>Pyreling</x:v>
      </x:c>
      <x:c r="C23" s="4" t="str">
        <x:v>A low-slung fiend has a huge soot-dark mane, short ivory horns and tiny warm eyes above a broad, toothy grin.</x:v>
      </x:c>
      <x:c r="D23" s="4" t="str">
        <x:v>DPS</x:v>
      </x:c>
      <x:c r="E23" s="4" t="str">
        <x:v>Ferocious</x:v>
      </x:c>
      <x:c r="F23" s="4" t="str">
        <x:v>Cute</x:v>
      </x:c>
      <x:c r="G23" s="4" t="str">
        <x:v>Demon / fiend</x:v>
      </x:c>
      <x:c r="H23" s="4" t="str">
        <x:v>Strength-based</x:v>
      </x:c>
    </x:row>
    <x:row r="24" ht="68" customHeight="1">
      <x:c r="A24" s="22" t="str">
        <x:v>19</x:v>
      </x:c>
      <x:c r="B24" s="4" t="str">
        <x:v>Pluvault</x:v>
      </x:c>
      <x:c r="C24" s="4" t="str">
        <x:v>A round ceramic cistern walks on four squat feet, with gutter-shaped arms and a small face beneath its heavy lid.</x:v>
      </x:c>
      <x:c r="D24" s="4" t="str">
        <x:v>Tank / Supp</x:v>
      </x:c>
      <x:c r="E24" s="4" t="str">
        <x:v>Protective</x:v>
      </x:c>
      <x:c r="F24" s="4" t="str">
        <x:v>Oddball</x:v>
      </x:c>
      <x:c r="G24" s="4" t="str">
        <x:v>Construct</x:v>
      </x:c>
      <x:c r="H24" s="4" t="str">
        <x:v>Int-Based</x:v>
      </x:c>
    </x:row>
    <x:row r="25" ht="68" customHeight="1">
      <x:c r="A25" s="22" t="str">
        <x:v>20</x:v>
      </x:c>
      <x:c r="B25" s="4" t="str">
        <x:v>Rillblade</x:v>
      </x:c>
      <x:c r="C25" s="4" t="str">
        <x:v>A narrow silver fish has four long, scythe-shaped fins and a ribbon tail; a thin loop of water holds it above the ground.</x:v>
      </x:c>
      <x:c r="D25" s="4" t="str">
        <x:v>DPS</x:v>
      </x:c>
      <x:c r="E25" s="4" t="str">
        <x:v>Cunning</x:v>
      </x:c>
      <x:c r="F25" s="4" t="str">
        <x:v>Majestic</x:v>
      </x:c>
      <x:c r="G25" s="4" t="str">
        <x:v>Aquatic</x:v>
      </x:c>
      <x:c r="H25" s="4" t="str">
        <x:v>Dex-Based</x:v>
      </x:c>
    </x:row>
    <x:row r="26" ht="68" customHeight="1">
      <x:c r="A26" s="22" t="str">
        <x:v>21</x:v>
      </x:c>
      <x:c r="B26" s="4" t="str">
        <x:v>Seedskit</x:v>
      </x:c>
      <x:c r="C26" s="4" t="str">
        <x:v>A split seedpod holds a tiny bright face above two long spring-root legs, with a pair of small leaves folded like ears.</x:v>
      </x:c>
      <x:c r="D26" s="4" t="str">
        <x:v>DPS</x:v>
      </x:c>
      <x:c r="E26" s="4" t="str">
        <x:v>Cute</x:v>
      </x:c>
      <x:c r="F26" s="4" t="str">
        <x:v>Cunning</x:v>
      </x:c>
      <x:c r="G26" s="4" t="str">
        <x:v>Plant / fungus</x:v>
      </x:c>
      <x:c r="H26" s="4" t="str">
        <x:v>Strength-based</x:v>
      </x:c>
    </x:row>
    <x:row r="27" ht="68" customHeight="1">
      <x:c r="A27" s="22" t="str">
        <x:v>22</x:v>
      </x:c>
      <x:c r="B27" s="4" t="str">
        <x:v>Rattlebit</x:v>
      </x:c>
      <x:c r="C27" s="4" t="str">
        <x:v>A tiny ivory skeleton has an oversized skull, mitten-like bone hands and short limbs that fold neatly into its rib cage.</x:v>
      </x:c>
      <x:c r="D27" s="4" t="str">
        <x:v>Fighter</x:v>
      </x:c>
      <x:c r="E27" s="4" t="str">
        <x:v>Cute</x:v>
      </x:c>
      <x:c r="F27" s="4" t="str">
        <x:v>Protective</x:v>
      </x:c>
      <x:c r="G27" s="4" t="str">
        <x:v>Skeletal / undead</x:v>
      </x:c>
      <x:c r="H27" s="4" t="str">
        <x:v>Strength-based</x:v>
      </x:c>
    </x:row>
    <x:row r="28" ht="68" customHeight="1">
      <x:c r="A28" s="22" t="str">
        <x:v>23</x:v>
      </x:c>
      <x:c r="B28" s="4" t="str">
        <x:v>Squallcub</x:v>
      </x:c>
      <x:c r="C28" s="4" t="str">
        <x:v>A compact bear cub has huge forepaws, a small stern face and thick shoulder fur that curls into two wind-swept spirals.</x:v>
      </x:c>
      <x:c r="D28" s="4" t="str">
        <x:v>Fighter</x:v>
      </x:c>
      <x:c r="E28" s="4" t="str">
        <x:v>Ferocious</x:v>
      </x:c>
      <x:c r="F28" s="4" t="str">
        <x:v>Cute</x:v>
      </x:c>
      <x:c r="G28" s="4" t="str">
        <x:v>Beast</x:v>
      </x:c>
      <x:c r="H28" s="4" t="str">
        <x:v>Strength-based</x:v>
      </x:c>
    </x:row>
    <x:row r="29" ht="68" customHeight="1">
      <x:c r="A29" s="22" t="str">
        <x:v>24</x:v>
      </x:c>
      <x:c r="B29" s="4" t="str">
        <x:v>Pinstitch</x:v>
      </x:c>
      <x:c r="C29" s="4" t="str">
        <x:v>A small rag doll has one enormous stitched hand, a crooked button eye and a soft crown of blunt, mismatched pins.</x:v>
      </x:c>
      <x:c r="D29" s="4" t="str">
        <x:v>DPS</x:v>
      </x:c>
      <x:c r="E29" s="4" t="str">
        <x:v>Cute</x:v>
      </x:c>
      <x:c r="F29" s="4" t="str">
        <x:v>Cunning</x:v>
      </x:c>
      <x:c r="G29" s="4" t="str">
        <x:v>Haunted object</x:v>
      </x:c>
      <x:c r="H29" s="4" t="str">
        <x:v>Dex-Based</x:v>
      </x:c>
    </x:row>
    <x:row r="30" ht="68" customHeight="1">
      <x:c r="A30" s="22" t="str">
        <x:v>25</x:v>
      </x:c>
      <x:c r="B30" s="4" t="str">
        <x:v>Thornmaw</x:v>
      </x:c>
      <x:c r="C30" s="4" t="str">
        <x:v>A heavy seedpod jaw sits on four buttress-root legs, with a small pair of eyes hidden beneath an overhanging thorny brow.</x:v>
      </x:c>
      <x:c r="D30" s="4" t="str">
        <x:v>Fighter / Tank</x:v>
      </x:c>
      <x:c r="E30" s="4" t="str">
        <x:v>Ferocious</x:v>
      </x:c>
      <x:c r="F30" s="4" t="str">
        <x:v>Protective</x:v>
      </x:c>
      <x:c r="G30" s="4" t="str">
        <x:v>Plant / fungus</x:v>
      </x:c>
      <x:c r="H30" s="4" t="str">
        <x:v>Strength-based</x:v>
      </x:c>
    </x:row>
    <x:row r="31" ht="68" customHeight="1">
      <x:c r="A31" s="22" t="str">
        <x:v>26</x:v>
      </x:c>
      <x:c r="B31" s="4" t="str">
        <x:v>Amberkite</x:v>
      </x:c>
      <x:c r="C31" s="4" t="str">
        <x:v>A diamond-shaped paper being stretches over curved amber ribs, with a tiny central face and two long, split ribbon tails.</x:v>
      </x:c>
      <x:c r="D31" s="4" t="str">
        <x:v>DPS</x:v>
      </x:c>
      <x:c r="E31" s="4" t="str">
        <x:v>Majestic</x:v>
      </x:c>
      <x:c r="F31" s="4" t="str">
        <x:v>Cunning</x:v>
      </x:c>
      <x:c r="G31" s="4" t="str">
        <x:v>Construct</x:v>
      </x:c>
      <x:c r="H31" s="4" t="str">
        <x:v>Int-Based</x:v>
      </x:c>
    </x:row>
    <x:row r="32" ht="68" customHeight="1">
      <x:c r="A32" s="22" t="str">
        <x:v>27</x:v>
      </x:c>
      <x:c r="B32" s="4" t="str">
        <x:v>Cragbeak</x:v>
      </x:c>
      <x:c r="C32" s="4" t="str">
        <x:v>A heavy ground bird has a blunt hooked beak and broad, stone-plated wing knuckles that nearly touch its short feet.</x:v>
      </x:c>
      <x:c r="D32" s="4" t="str">
        <x:v>Fighter</x:v>
      </x:c>
      <x:c r="E32" s="4" t="str">
        <x:v>Protective</x:v>
      </x:c>
      <x:c r="F32" s="4" t="str">
        <x:v>Ferocious</x:v>
      </x:c>
      <x:c r="G32" s="4" t="str">
        <x:v>Avian</x:v>
      </x:c>
      <x:c r="H32" s="4" t="str">
        <x:v>Dex-Based</x:v>
      </x:c>
    </x:row>
    <x:row r="33" ht="68" customHeight="1">
      <x:c r="A33" s="22" t="str">
        <x:v>28</x:v>
      </x:c>
      <x:c r="B33" s="4" t="str">
        <x:v>Gonglet</x:v>
      </x:c>
      <x:c r="C33" s="4" t="str">
        <x:v>A small brass gong hangs inside its own round frame, with crescent feet, mitten-like beaters and a sleepy embossed face.</x:v>
      </x:c>
      <x:c r="D33" s="4" t="str">
        <x:v>Tank / Supp</x:v>
      </x:c>
      <x:c r="E33" s="4" t="str">
        <x:v>Cute</x:v>
      </x:c>
      <x:c r="F33" s="4" t="str">
        <x:v>Protective</x:v>
      </x:c>
      <x:c r="G33" s="4" t="str">
        <x:v>Construct</x:v>
      </x:c>
      <x:c r="H33" s="4" t="str">
        <x:v>Int-Based</x:v>
      </x:c>
    </x:row>
    <x:row r="34" ht="68" customHeight="1">
      <x:c r="A34" s="22" t="str">
        <x:v>29</x:v>
      </x:c>
      <x:c r="B34" s="4" t="str">
        <x:v>Glassphoenix</x:v>
      </x:c>
      <x:c r="C34" s="4" t="str">
        <x:v>A long-necked bird has sweeping wings made from a few large glass plates, their old cracks traced by fine luminous seams.</x:v>
      </x:c>
      <x:c r="D34" s="4" t="str">
        <x:v>DPS</x:v>
      </x:c>
      <x:c r="E34" s="4" t="str">
        <x:v>Majestic</x:v>
      </x:c>
      <x:c r="F34" s="4" t="str">
        <x:v>Ferocious</x:v>
      </x:c>
      <x:c r="G34" s="4" t="str">
        <x:v>Mythic</x:v>
      </x:c>
      <x:c r="H34" s="4" t="str">
        <x:v>Int-Based</x:v>
      </x:c>
    </x:row>
    <x:row r="35" ht="68" customHeight="1">
      <x:c r="A35" s="22" t="str">
        <x:v>30</x:v>
      </x:c>
      <x:c r="B35" s="4" t="str">
        <x:v>Veilheron</x:v>
      </x:c>
      <x:c r="C35" s="4" t="str">
        <x:v>A narrow heron hides its body behind one long, draped wing, leaving a needle beak and two delicate black legs exposed.</x:v>
      </x:c>
      <x:c r="D35" s="4" t="str">
        <x:v>DPS</x:v>
      </x:c>
      <x:c r="E35" s="4" t="str">
        <x:v>Cunning</x:v>
      </x:c>
      <x:c r="F35" s="4" t="str">
        <x:v>Majestic</x:v>
      </x:c>
      <x:c r="G35" s="4" t="str">
        <x:v>Avian</x:v>
      </x:c>
      <x:c r="H35" s="4" t="str">
        <x:v>Dex-Based</x:v>
      </x:c>
    </x:row>
    <x:row r="36" ht="68" customHeight="1">
      <x:c r="A36" s="22" t="str">
        <x:v>31</x:v>
      </x:c>
      <x:c r="B36" s="4" t="str">
        <x:v>Honeylark</x:v>
      </x:c>
      <x:c r="C36" s="4" t="str">
        <x:v>A round little bird has a short beak, two honey-colored throat sacs and a broad feather bib that almost covers its feet.</x:v>
      </x:c>
      <x:c r="D36" s="4" t="str">
        <x:v>Supp</x:v>
      </x:c>
      <x:c r="E36" s="4" t="str">
        <x:v>Cute</x:v>
      </x:c>
      <x:c r="F36" s="4" t="str">
        <x:v>Oddball</x:v>
      </x:c>
      <x:c r="G36" s="4" t="str">
        <x:v>Avian</x:v>
      </x:c>
      <x:c r="H36" s="4" t="str">
        <x:v>Int-Based</x:v>
      </x:c>
    </x:row>
    <x:row r="37" ht="68" customHeight="1">
      <x:c r="A37" s="22" t="str">
        <x:v>32</x:v>
      </x:c>
      <x:c r="B37" s="4" t="str">
        <x:v>Hushowl</x:v>
      </x:c>
      <x:c r="C37" s="4" t="str">
        <x:v>A round owl has a smooth, sliding feather mask, tiny visible feet and two large eyes that peer out from beneath its rim.</x:v>
      </x:c>
      <x:c r="D37" s="4" t="str">
        <x:v>DPS / Supp</x:v>
      </x:c>
      <x:c r="E37" s="4" t="str">
        <x:v>Uncanny</x:v>
      </x:c>
      <x:c r="F37" s="4" t="str">
        <x:v>Cute</x:v>
      </x:c>
      <x:c r="G37" s="4" t="str">
        <x:v>Avian</x:v>
      </x:c>
      <x:c r="H37" s="4" t="str">
        <x:v>Strength-based</x:v>
      </x:c>
    </x:row>
    <x:row r="38" ht="68" customHeight="1">
      <x:c r="A38" s="22" t="str">
        <x:v>33</x:v>
      </x:c>
      <x:c r="B38" s="4" t="str">
        <x:v>Razorwing</x:v>
      </x:c>
      <x:c r="C38" s="4" t="str">
        <x:v>A slender insect has a single crescent gliding membrane, hooked feet and a long tail that splits into two narrow blades.</x:v>
      </x:c>
      <x:c r="D38" s="4" t="str">
        <x:v>DPS</x:v>
      </x:c>
      <x:c r="E38" s="4" t="str">
        <x:v>Cunning</x:v>
      </x:c>
      <x:c r="F38" s="4" t="str">
        <x:v>Ferocious</x:v>
      </x:c>
      <x:c r="G38" s="4" t="str">
        <x:v>Invertebrate</x:v>
      </x:c>
      <x:c r="H38" s="4" t="str">
        <x:v>Dex-Based</x:v>
      </x:c>
    </x:row>
    <x:row r="39" ht="68" customHeight="1">
      <x:c r="A39" s="22" t="str">
        <x:v>34</x:v>
      </x:c>
      <x:c r="B39" s="4" t="str">
        <x:v>Snipstream</x:v>
      </x:c>
      <x:c r="C39" s="4" t="str">
        <x:v>A small wind being folds into two sharp chevrons around a dark eye, with one soft tuft trailing from its pointed head.</x:v>
      </x:c>
      <x:c r="D39" s="4" t="str">
        <x:v>DPS</x:v>
      </x:c>
      <x:c r="E39" s="4" t="str">
        <x:v>Cunning</x:v>
      </x:c>
      <x:c r="F39" s="4" t="str">
        <x:v>Oddball</x:v>
      </x:c>
      <x:c r="G39" s="4" t="str">
        <x:v>Elemental / abstract</x:v>
      </x:c>
      <x:c r="H39" s="4" t="str">
        <x:v>Dex-Based</x:v>
      </x:c>
    </x:row>
    <x:row r="40" ht="68" customHeight="1">
      <x:c r="A40" s="22" t="str">
        <x:v>35</x:v>
      </x:c>
      <x:c r="B40" s="4" t="str">
        <x:v>Keepsake</x:v>
      </x:c>
      <x:c r="C40" s="4" t="str">
        <x:v>A small translucent spirit hugs a smooth pebble; a ring of smaller stones floats inside its rounded belly beneath shy eyes.</x:v>
      </x:c>
      <x:c r="D40" s="4" t="str">
        <x:v>Supp</x:v>
      </x:c>
      <x:c r="E40" s="4" t="str">
        <x:v>Cute</x:v>
      </x:c>
      <x:c r="F40" s="4" t="str">
        <x:v>Protective</x:v>
      </x:c>
      <x:c r="G40" s="4" t="str">
        <x:v>Afterlife spirit</x:v>
      </x:c>
      <x:c r="H40" s="4" t="str">
        <x:v>Int-Based</x:v>
      </x:c>
    </x:row>
    <x:row r="41" ht="68" customHeight="1">
      <x:c r="A41" s="22" t="str">
        <x:v>36</x:v>
      </x:c>
      <x:c r="B41" s="4" t="str">
        <x:v>Hopgrit</x:v>
      </x:c>
      <x:c r="C41" s="4" t="str">
        <x:v>A broad, flightless bird balances a tiny stern head over enormous bent legs, with short winglets and a stiff paddle tail.</x:v>
      </x:c>
      <x:c r="D41" s="4" t="str">
        <x:v>Fighter</x:v>
      </x:c>
      <x:c r="E41" s="4" t="str">
        <x:v>Oddball</x:v>
      </x:c>
      <x:c r="F41" s="4" t="str">
        <x:v>Ferocious</x:v>
      </x:c>
      <x:c r="G41" s="4" t="str">
        <x:v>Avian</x:v>
      </x:c>
      <x:c r="H41" s="4" t="str">
        <x:v>Strength-based</x:v>
      </x:c>
    </x:row>
    <x:row r="42" ht="68" customHeight="1">
      <x:c r="A42" s="22" t="str">
        <x:v>37</x:v>
      </x:c>
      <x:c r="B42" s="4" t="str">
        <x:v>Tempestool</x:v>
      </x:c>
      <x:c r="C42" s="4" t="str">
        <x:v>A tall mushroom floats beneath a broad, ribbed cap, its long root-tendrils twisting together into a narrow hanging funnel.</x:v>
      </x:c>
      <x:c r="D42" s="4" t="str">
        <x:v>DPS / Supp</x:v>
      </x:c>
      <x:c r="E42" s="4" t="str">
        <x:v>Majestic</x:v>
      </x:c>
      <x:c r="F42" s="4" t="str">
        <x:v>Uncanny</x:v>
      </x:c>
      <x:c r="G42" s="4" t="str">
        <x:v>Plant / fungus</x:v>
      </x:c>
      <x:c r="H42" s="4" t="str">
        <x:v>Int-Based</x:v>
      </x:c>
    </x:row>
    <x:row r="43" ht="68" customHeight="1">
      <x:c r="A43" s="22" t="str">
        <x:v>38</x:v>
      </x:c>
      <x:c r="B43" s="4" t="str">
        <x:v>Windlass</x:v>
      </x:c>
      <x:c r="C43" s="4" t="str">
        <x:v>A thick metal ring surrounds a small bright eye, with two heavy stone arms and three sail-like fins along its rim.</x:v>
      </x:c>
      <x:c r="D43" s="4" t="str">
        <x:v>Fighter</x:v>
      </x:c>
      <x:c r="E43" s="4" t="str">
        <x:v>Ferocious</x:v>
      </x:c>
      <x:c r="F43" s="4" t="str">
        <x:v>Majestic</x:v>
      </x:c>
      <x:c r="G43" s="4" t="str">
        <x:v>Construct</x:v>
      </x:c>
      <x:c r="H43" s="4" t="str">
        <x:v>Strength-based</x:v>
      </x:c>
    </x:row>
    <x:row r="44" ht="68" customHeight="1">
      <x:c r="A44" s="22" t="str">
        <x:v>39</x:v>
      </x:c>
      <x:c r="B44" s="4" t="str">
        <x:v>Tempestrook</x:v>
      </x:c>
      <x:c r="C44" s="4" t="str">
        <x:v>A great dark corvid has three paired layers of blade-shaped wings, a compact crowned head and a long forked tail.</x:v>
      </x:c>
      <x:c r="D44" s="4" t="str">
        <x:v>DPS</x:v>
      </x:c>
      <x:c r="E44" s="4" t="str">
        <x:v>Majestic</x:v>
      </x:c>
      <x:c r="F44" s="4" t="str">
        <x:v>Ferocious</x:v>
      </x:c>
      <x:c r="G44" s="4" t="str">
        <x:v>Mythic</x:v>
      </x:c>
      <x:c r="H44" s="4" t="str">
        <x:v>Strength-based</x:v>
      </x:c>
    </x:row>
    <x:row r="45" ht="68" customHeight="1">
      <x:c r="A45" s="22" t="str">
        <x:v>40</x:v>
      </x:c>
      <x:c r="B45" s="4" t="str">
        <x:v>Velvimp</x:v>
      </x:c>
      <x:c r="C45" s="4" t="str">
        <x:v>A slender imp folds huge velvet ear-wings around its body, leaving a tiny grin, hooked thumbs and two little feet visible.</x:v>
      </x:c>
      <x:c r="D45" s="4" t="str">
        <x:v>DPS</x:v>
      </x:c>
      <x:c r="E45" s="4" t="str">
        <x:v>Cunning</x:v>
      </x:c>
      <x:c r="F45" s="4" t="str">
        <x:v>Cute</x:v>
      </x:c>
      <x:c r="G45" s="4" t="str">
        <x:v>Demon / fiend</x:v>
      </x:c>
      <x:c r="H45" s="4" t="str">
        <x:v>Int-Based</x:v>
      </x:c>
    </x:row>
    <x:row r="46" ht="68" customHeight="1">
      <x:c r="A46" s="22" t="str">
        <x:v>41</x:v>
      </x:c>
      <x:c r="B46" s="4" t="str">
        <x:v>Brooktoad</x:v>
      </x:c>
      <x:c r="C46" s="4" t="str">
        <x:v>A squat toad has a wide, pale throat bowl, tiny webbed hands and a low collar of rounded leaves around its shoulders.</x:v>
      </x:c>
      <x:c r="D46" s="4" t="str">
        <x:v>Supp</x:v>
      </x:c>
      <x:c r="E46" s="4" t="str">
        <x:v>Cute</x:v>
      </x:c>
      <x:c r="F46" s="4" t="str">
        <x:v>Protective</x:v>
      </x:c>
      <x:c r="G46" s="4" t="str">
        <x:v>Reptile / amphibian</x:v>
      </x:c>
      <x:c r="H46" s="4" t="str">
        <x:v>Int-Based</x:v>
      </x:c>
    </x:row>
    <x:row r="47" ht="68" customHeight="1">
      <x:c r="A47" s="22" t="str">
        <x:v>42</x:v>
      </x:c>
      <x:c r="B47" s="4" t="str">
        <x:v>Puffiend</x:v>
      </x:c>
      <x:c r="C47" s="4" t="str">
        <x:v>A puffed-up coal imp has huge round cheeks, two short horn-shaped vents and little hands planted proudly on its hips.</x:v>
      </x:c>
      <x:c r="D47" s="4" t="str">
        <x:v>DPS</x:v>
      </x:c>
      <x:c r="E47" s="4" t="str">
        <x:v>Oddball</x:v>
      </x:c>
      <x:c r="F47" s="4" t="str">
        <x:v>Cute</x:v>
      </x:c>
      <x:c r="G47" s="4" t="str">
        <x:v>Demon / fiend</x:v>
      </x:c>
      <x:c r="H47" s="4" t="str">
        <x:v>Dex-Based</x:v>
      </x:c>
    </x:row>
    <x:row r="48" ht="68" customHeight="1">
      <x:c r="A48" s="22" t="str">
        <x:v>43</x:v>
      </x:c>
      <x:c r="B48" s="4" t="str">
        <x:v>Crucibulk</x:v>
      </x:c>
      <x:c r="C48" s="4" t="str">
        <x:v>A broad crucible body rests on two squat legs, with huge ceramic forearms and a small molten face deep inside its rim.</x:v>
      </x:c>
      <x:c r="D48" s="4" t="str">
        <x:v>Tank / Supp</x:v>
      </x:c>
      <x:c r="E48" s="4" t="str">
        <x:v>Ferocious</x:v>
      </x:c>
      <x:c r="F48" s="4" t="str">
        <x:v>Protective</x:v>
      </x:c>
      <x:c r="G48" s="4" t="str">
        <x:v>Construct</x:v>
      </x:c>
      <x:c r="H48" s="4" t="str">
        <x:v>Int-Based</x:v>
      </x:c>
    </x:row>
    <x:row r="49" ht="68" customHeight="1">
      <x:c r="A49" s="22" t="str">
        <x:v>44</x:v>
      </x:c>
      <x:c r="B49" s="4" t="str">
        <x:v>Starfrog</x:v>
      </x:c>
      <x:c r="C49" s="4" t="str">
        <x:v>A tiny glass-bodied frog has a broad clear belly dotted with star-like lights and four oversized crescent-shaped feet.</x:v>
      </x:c>
      <x:c r="D49" s="4" t="str">
        <x:v>DPS</x:v>
      </x:c>
      <x:c r="E49" s="4" t="str">
        <x:v>Cute</x:v>
      </x:c>
      <x:c r="F49" s="4" t="str">
        <x:v>Majestic</x:v>
      </x:c>
      <x:c r="G49" s="4" t="str">
        <x:v>Reptile / amphibian</x:v>
      </x:c>
      <x:c r="H49" s="4" t="str">
        <x:v>Int-Based</x:v>
      </x:c>
    </x:row>
    <x:row r="50" ht="68" customHeight="1">
      <x:c r="A50" s="22" t="str">
        <x:v>45</x:v>
      </x:c>
      <x:c r="B50" s="4" t="str">
        <x:v>Auroradrake</x:v>
      </x:c>
      <x:c r="C50" s="4" t="str">
        <x:v>A long, soft-bodied dragon has enormous ribbon gills, stubby hind feet and a translucent belly shaded like the dawn sky.</x:v>
      </x:c>
      <x:c r="D50" s="4" t="str">
        <x:v>Fighter / Supp</x:v>
      </x:c>
      <x:c r="E50" s="4" t="str">
        <x:v>Majestic</x:v>
      </x:c>
      <x:c r="F50" s="4" t="str">
        <x:v>Cute</x:v>
      </x:c>
      <x:c r="G50" s="4" t="str">
        <x:v>Mythic</x:v>
      </x:c>
      <x:c r="H50" s="4" t="str">
        <x:v>Int-Based</x:v>
      </x:c>
    </x:row>
    <x:row r="51" ht="40" customHeight="1">
      <x:c r="A51" s="22" t="str">
        <x:v>46</x:v>
      </x:c>
      <x:c r="B51" s="4" t="str">
        <x:v>Cindertroop</x:v>
      </x:c>
      <x:c r="C51" s="4" t="str">
        <x:v>A queen and its swarm of ants fit beneath overlapping shell plates</x:v>
      </x:c>
      <x:c r="D51" s="4" t="str">
        <x:v>Fighter</x:v>
      </x:c>
      <x:c r="E51" s="4" t="str">
        <x:v>Ferocious</x:v>
      </x:c>
      <x:c r="F51" s="4" t="str">
        <x:v>Cute</x:v>
      </x:c>
      <x:c r="G51" s="4" t="str">
        <x:v>Collective</x:v>
      </x:c>
      <x:c r="H51" s="4" t="str">
        <x:v>Strength-based</x:v>
      </x:c>
    </x:row>
    <x:row r="52" ht="68" customHeight="1">
      <x:c r="A52" s="22" t="str">
        <x:v>47</x:v>
      </x:c>
      <x:c r="B52" s="4" t="str">
        <x:v>Cloverguard</x:v>
      </x:c>
      <x:c r="C52" s="4" t="str">
        <x:v>A broad beetle has four rounded, leaf-shaped shell plates, short gripping legs and a small face beneath a deep front rim.</x:v>
      </x:c>
      <x:c r="D52" s="4" t="str">
        <x:v>Tank</x:v>
      </x:c>
      <x:c r="E52" s="4" t="str">
        <x:v>Protective</x:v>
      </x:c>
      <x:c r="F52" s="4" t="str">
        <x:v>Cute</x:v>
      </x:c>
      <x:c r="G52" s="4" t="str">
        <x:v>Invertebrate</x:v>
      </x:c>
      <x:c r="H52" s="4" t="str">
        <x:v>Strength-based</x:v>
      </x:c>
    </x:row>
    <x:row r="53" ht="68" customHeight="1">
      <x:c r="A53" s="22" t="str">
        <x:v>48</x:v>
      </x:c>
      <x:c r="B53" s="4" t="str">
        <x:v>Reefvault</x:v>
      </x:c>
      <x:c r="C53" s="4" t="str">
        <x:v>A narrow hopper balances on two long, branching hind legs, with a small crested head and a smooth, shell-white abdomen.</x:v>
      </x:c>
      <x:c r="D53" s="4" t="str">
        <x:v>DPS</x:v>
      </x:c>
      <x:c r="E53" s="4" t="str">
        <x:v>Cunning</x:v>
      </x:c>
      <x:c r="F53" s="4" t="str">
        <x:v>Majestic</x:v>
      </x:c>
      <x:c r="G53" s="4" t="str">
        <x:v>Invertebrate</x:v>
      </x:c>
      <x:c r="H53" s="4" t="str">
        <x:v>Strength-based</x:v>
      </x:c>
    </x:row>
    <x:row r="54" ht="68" customHeight="1">
      <x:c r="A54" s="22" t="str">
        <x:v>49</x:v>
      </x:c>
      <x:c r="B54" s="4" t="str">
        <x:v>Cinderwink</x:v>
      </x:c>
      <x:c r="C54" s="4" t="str">
        <x:v>A tiny soot-dark soul has two warm pinprick eyes and soft curled arms that frame a small floating flame above its head.</x:v>
      </x:c>
      <x:c r="D54" s="4" t="str">
        <x:v>DPS</x:v>
      </x:c>
      <x:c r="E54" s="4" t="str">
        <x:v>Cute</x:v>
      </x:c>
      <x:c r="F54" s="4" t="str">
        <x:v>Uncanny</x:v>
      </x:c>
      <x:c r="G54" s="4" t="str">
        <x:v>Afterlife spirit</x:v>
      </x:c>
      <x:c r="H54" s="4" t="str">
        <x:v>Int-Based</x:v>
      </x:c>
    </x:row>
    <x:row r="55" ht="68" customHeight="1">
      <x:c r="A55" s="22" t="str">
        <x:v>50</x:v>
      </x:c>
      <x:c r="B55" s="4" t="str">
        <x:v>Leafmantis</x:v>
      </x:c>
      <x:c r="C55" s="4" t="str">
        <x:v>A low, angular mantis folds its broad forearms into a closed leaf bud over its face, leaving thin eyes visible beneath.</x:v>
      </x:c>
      <x:c r="D55" s="4" t="str">
        <x:v>DPS</x:v>
      </x:c>
      <x:c r="E55" s="4" t="str">
        <x:v>Cunning</x:v>
      </x:c>
      <x:c r="F55" s="4" t="str">
        <x:v>Ferocious</x:v>
      </x:c>
      <x:c r="G55" s="4" t="str">
        <x:v>Invertebrate</x:v>
      </x:c>
      <x:c r="H55" s="4" t="str">
        <x:v>Dex-Based</x:v>
      </x:c>
    </x:row>
    <x:row r="56" ht="68" customHeight="1">
      <x:c r="A56" s="22" t="str">
        <x:v>51</x:v>
      </x:c>
      <x:c r="B56" s="4" t="str">
        <x:v>Lumimoth</x:v>
      </x:c>
      <x:c r="C56" s="4" t="str">
        <x:v>A fuzzy moth wears a deep hood-like collar, with broad split wings and two soft lantern-shaped pockets near its shoulders.</x:v>
      </x:c>
      <x:c r="D56" s="4" t="str">
        <x:v>Supp</x:v>
      </x:c>
      <x:c r="E56" s="4" t="str">
        <x:v>Cute</x:v>
      </x:c>
      <x:c r="F56" s="4" t="str">
        <x:v>Majestic</x:v>
      </x:c>
      <x:c r="G56" s="4" t="str">
        <x:v>Invertebrate</x:v>
      </x:c>
      <x:c r="H56" s="4" t="str">
        <x:v>Int-Based</x:v>
      </x:c>
    </x:row>
    <x:row r="57" ht="68" customHeight="1">
      <x:c r="A57" s="22" t="str">
        <x:v>52</x:v>
      </x:c>
      <x:c r="B57" s="4" t="str">
        <x:v>Mirrormantis</x:v>
      </x:c>
      <x:c r="C57" s="4" t="str">
        <x:v>A thin mantis holds two broad mirror forearms together as a false torso, while its real head peeks around one bright edge.</x:v>
      </x:c>
      <x:c r="D57" s="4" t="str">
        <x:v>Fighter</x:v>
      </x:c>
      <x:c r="E57" s="4" t="str">
        <x:v>Cunning</x:v>
      </x:c>
      <x:c r="F57" s="4" t="str">
        <x:v>Uncanny</x:v>
      </x:c>
      <x:c r="G57" s="4" t="str">
        <x:v>Invertebrate</x:v>
      </x:c>
      <x:c r="H57" s="4" t="str">
        <x:v>Strength-based</x:v>
      </x:c>
    </x:row>
    <x:row r="58" ht="68" customHeight="1">
      <x:c r="A58" s="22" t="str">
        <x:v>53</x:v>
      </x:c>
      <x:c r="B58" s="4" t="str">
        <x:v>Prismspear</x:v>
      </x:c>
      <x:c r="C58" s="4" t="str">
        <x:v>A pointed crystal body holds a tiny dark eye, with three large triangular fins hovering close around its narrow middle.</x:v>
      </x:c>
      <x:c r="D58" s="4" t="str">
        <x:v>DPS</x:v>
      </x:c>
      <x:c r="E58" s="4" t="str">
        <x:v>Cunning</x:v>
      </x:c>
      <x:c r="F58" s="4" t="str">
        <x:v>Majestic</x:v>
      </x:c>
      <x:c r="G58" s="4" t="str">
        <x:v>Construct</x:v>
      </x:c>
      <x:c r="H58" s="4" t="str">
        <x:v>Dex-Based</x:v>
      </x:c>
    </x:row>
    <x:row r="59" ht="68" customHeight="1">
      <x:c r="A59" s="22" t="str">
        <x:v>54</x:v>
      </x:c>
      <x:c r="B59" s="4" t="str">
        <x:v>Resinrook</x:v>
      </x:c>
      <x:c r="C59" s="4" t="str">
        <x:v>A squat amber tower has enormous block-like arms, a recessed stern face and a small leafy twig suspended inside its chest.</x:v>
      </x:c>
      <x:c r="D59" s="4" t="str">
        <x:v>Tank</x:v>
      </x:c>
      <x:c r="E59" s="4" t="str">
        <x:v>Protective</x:v>
      </x:c>
      <x:c r="F59" s="4" t="str">
        <x:v>Ferocious</x:v>
      </x:c>
      <x:c r="G59" s="4" t="str">
        <x:v>Construct</x:v>
      </x:c>
      <x:c r="H59" s="4" t="str">
        <x:v>Strength-based</x:v>
      </x:c>
    </x:row>
    <x:row r="60" ht="68" customHeight="1">
      <x:c r="A60" s="22" t="str">
        <x:v>55</x:v>
      </x:c>
      <x:c r="B60" s="4" t="str">
        <x:v>Saffrune</x:v>
      </x:c>
      <x:c r="C60" s="4" t="str">
        <x:v>A broad-petaled flower floats above a tiny seed face, with long saffron-colored roots curled into two delicate loops.</x:v>
      </x:c>
      <x:c r="D60" s="4" t="str">
        <x:v>Supp</x:v>
      </x:c>
      <x:c r="E60" s="4" t="str">
        <x:v>Majestic</x:v>
      </x:c>
      <x:c r="F60" s="4" t="str">
        <x:v>Cute</x:v>
      </x:c>
      <x:c r="G60" s="4" t="str">
        <x:v>Plant / fungus</x:v>
      </x:c>
      <x:c r="H60" s="4" t="str">
        <x:v>Int-Based</x:v>
      </x:c>
    </x:row>
    <x:row r="61" ht="68" customHeight="1">
      <x:c r="A61" s="22" t="str">
        <x:v>56</x:v>
      </x:c>
      <x:c r="B61" s="4" t="str">
        <x:v>Coalgrub</x:v>
      </x:c>
      <x:c r="C61" s="4" t="str">
        <x:v>A plump charcoal grub has a huge pale face, six tiny mitten feet and two cheek vents beneath a short bristly crest.</x:v>
      </x:c>
      <x:c r="D61" s="4" t="str">
        <x:v>Fighter</x:v>
      </x:c>
      <x:c r="E61" s="4" t="str">
        <x:v>Oddball</x:v>
      </x:c>
      <x:c r="F61" s="4" t="str">
        <x:v>Cute</x:v>
      </x:c>
      <x:c r="G61" s="4" t="str">
        <x:v>Invertebrate</x:v>
      </x:c>
      <x:c r="H61" s="4" t="str">
        <x:v>Strength-based</x:v>
      </x:c>
    </x:row>
    <x:row r="62" ht="68" customHeight="1">
      <x:c r="A62" s="22" t="str">
        <x:v>57</x:v>
      </x:c>
      <x:c r="B62" s="4" t="str">
        <x:v>Sunscarab</x:v>
      </x:c>
      <x:c r="C62" s="4" t="str">
        <x:v>A low, polished scarab carries a broad circular back framed by two crescent wing cases, with a small calm face underneath.</x:v>
      </x:c>
      <x:c r="D62" s="4" t="str">
        <x:v>Tank / Supp</x:v>
      </x:c>
      <x:c r="E62" s="4" t="str">
        <x:v>Majestic</x:v>
      </x:c>
      <x:c r="F62" s="4" t="str">
        <x:v>Protective</x:v>
      </x:c>
      <x:c r="G62" s="4" t="str">
        <x:v>Invertebrate</x:v>
      </x:c>
      <x:c r="H62" s="4" t="str">
        <x:v>Int-Based</x:v>
      </x:c>
    </x:row>
    <x:row r="63" ht="68" customHeight="1">
      <x:c r="A63" s="22" t="str">
        <x:v>58</x:v>
      </x:c>
      <x:c r="B63" s="4" t="str">
        <x:v>Brontobug</x:v>
      </x:c>
      <x:c r="C63" s="4" t="str">
        <x:v>A heavy beetle has a drum-shaped abdomen, thick blocky legs and two short forked antennae over a wide, stubborn face.</x:v>
      </x:c>
      <x:c r="D63" s="4" t="str">
        <x:v>Fighter</x:v>
      </x:c>
      <x:c r="E63" s="4" t="str">
        <x:v>Ferocious</x:v>
      </x:c>
      <x:c r="F63" s="4" t="str">
        <x:v>Protective</x:v>
      </x:c>
      <x:c r="G63" s="4" t="str">
        <x:v>Invertebrate</x:v>
      </x:c>
      <x:c r="H63" s="4" t="str">
        <x:v>Strength-based</x:v>
      </x:c>
    </x:row>
    <x:row r="64" ht="68" customHeight="1">
      <x:c r="A64" s="22" t="str">
        <x:v>59</x:v>
      </x:c>
      <x:c r="B64" s="4" t="str">
        <x:v>Mournmantle</x:v>
      </x:c>
      <x:c r="C64" s="4" t="str">
        <x:v>A poised little fiend has long smooth horns and broad wings folded like a mantle, with a small bright face and tiny toes.</x:v>
      </x:c>
      <x:c r="D64" s="4" t="str">
        <x:v>DPS</x:v>
      </x:c>
      <x:c r="E64" s="4" t="str">
        <x:v>Majestic</x:v>
      </x:c>
      <x:c r="F64" s="4" t="str">
        <x:v>Cute</x:v>
      </x:c>
      <x:c r="G64" s="4" t="str">
        <x:v>Demon / fiend</x:v>
      </x:c>
      <x:c r="H64" s="4" t="str">
        <x:v>Int-Based</x:v>
      </x:c>
    </x:row>
    <x:row r="65" ht="68" customHeight="1">
      <x:c r="A65" s="22" t="str">
        <x:v>60</x:v>
      </x:c>
      <x:c r="B65" s="4" t="str">
        <x:v>Whistlepod</x:v>
      </x:c>
      <x:c r="C65" s="4" t="str">
        <x:v>A seedpod head with three round openings sits on an accordion stem, above root feet and two tiny leaf-shaped hands.</x:v>
      </x:c>
      <x:c r="D65" s="4" t="str">
        <x:v>Supp</x:v>
      </x:c>
      <x:c r="E65" s="4" t="str">
        <x:v>Oddball</x:v>
      </x:c>
      <x:c r="F65" s="4" t="str">
        <x:v>Cute</x:v>
      </x:c>
      <x:c r="G65" s="4" t="str">
        <x:v>Plant / fungus</x:v>
      </x:c>
      <x:c r="H65" s="4" t="str">
        <x:v>Dex-Based</x:v>
      </x:c>
    </x:row>
    <x:row r="66" ht="68" customHeight="1">
      <x:c r="A66" s="22" t="str">
        <x:v>61</x:v>
      </x:c>
      <x:c r="B66" s="4" t="str">
        <x:v>Moonweaver</x:v>
      </x:c>
      <x:c r="C66" s="4" t="str">
        <x:v>A great pale weaver has long arching legs, a small veiled face and a crescent frame around its silk-filled abdomen.</x:v>
      </x:c>
      <x:c r="D66" s="4" t="str">
        <x:v>DPS / Supp</x:v>
      </x:c>
      <x:c r="E66" s="4" t="str">
        <x:v>Majestic</x:v>
      </x:c>
      <x:c r="F66" s="4" t="str">
        <x:v>Uncanny</x:v>
      </x:c>
      <x:c r="G66" s="4" t="str">
        <x:v>Mythic</x:v>
      </x:c>
      <x:c r="H66" s="4" t="str">
        <x:v>Int-Based</x:v>
      </x:c>
    </x:row>
    <x:row r="67" ht="68" customHeight="1">
      <x:c r="A67" s="22" t="str">
        <x:v>62</x:v>
      </x:c>
      <x:c r="B67" s="4" t="str">
        <x:v>Pearlweaver</x:v>
      </x:c>
      <x:c r="C67" s="4" t="str">
        <x:v>A slender spider carries one large pearl-like abdomen, with two raised front legs and six delicate, sharply bent walking legs.</x:v>
      </x:c>
      <x:c r="D67" s="4" t="str">
        <x:v>DPS</x:v>
      </x:c>
      <x:c r="E67" s="4" t="str">
        <x:v>Majestic</x:v>
      </x:c>
      <x:c r="F67" s="4" t="str">
        <x:v>Cunning</x:v>
      </x:c>
      <x:c r="G67" s="4" t="str">
        <x:v>Invertebrate</x:v>
      </x:c>
      <x:c r="H67" s="4" t="str">
        <x:v>Dex-Based</x:v>
      </x:c>
    </x:row>
    <x:row r="68" ht="68" customHeight="1">
      <x:c r="A68" s="22" t="str">
        <x:v>63</x:v>
      </x:c>
      <x:c r="B68" s="4" t="str">
        <x:v>Silkstep</x:v>
      </x:c>
      <x:c r="C68" s="4" t="str">
        <x:v>A tiny hooded skeleton has four long, spring-bent limbs, a rounded skull and two little tooth tips beneath its bright eyes.</x:v>
      </x:c>
      <x:c r="D68" s="4" t="str">
        <x:v>DPS</x:v>
      </x:c>
      <x:c r="E68" s="4" t="str">
        <x:v>Cunning</x:v>
      </x:c>
      <x:c r="F68" s="4" t="str">
        <x:v>Cute</x:v>
      </x:c>
      <x:c r="G68" s="4" t="str">
        <x:v>Skeletal / undead</x:v>
      </x:c>
      <x:c r="H68" s="4" t="str">
        <x:v>Dex-Based</x:v>
      </x:c>
    </x:row>
    <x:row r="69" ht="68" customHeight="1">
      <x:c r="A69" s="22" t="str">
        <x:v>64</x:v>
      </x:c>
      <x:c r="B69" s="4" t="str">
        <x:v>Grinroot</x:v>
      </x:c>
      <x:c r="C69" s="4" t="str">
        <x:v>A soil-colored imp has curling root-like horns, huge open palms and a leaf-shaped tail, with an irrepressible crooked grin.</x:v>
      </x:c>
      <x:c r="D69" s="4" t="str">
        <x:v>Fighter / Supp</x:v>
      </x:c>
      <x:c r="E69" s="4" t="str">
        <x:v>Cute</x:v>
      </x:c>
      <x:c r="F69" s="4" t="str">
        <x:v>Oddball</x:v>
      </x:c>
      <x:c r="G69" s="4" t="str">
        <x:v>Demon / fiend</x:v>
      </x:c>
      <x:c r="H69" s="4" t="str">
        <x:v>Strength-based</x:v>
      </x:c>
    </x:row>
    <x:row r="70" ht="68" customHeight="1">
      <x:c r="A70" s="22" t="str">
        <x:v>65</x:v>
      </x:c>
      <x:c r="B70" s="4" t="str">
        <x:v>Cloudfin</x:v>
      </x:c>
      <x:c r="C70" s="4" t="str">
        <x:v>A soft, box-shaped fish has two large side air sacs, a tiny smiling face and a translucent sail tail larger than its body.</x:v>
      </x:c>
      <x:c r="D70" s="4" t="str">
        <x:v>Supp</x:v>
      </x:c>
      <x:c r="E70" s="4" t="str">
        <x:v>Majestic</x:v>
      </x:c>
      <x:c r="F70" s="4" t="str">
        <x:v>Cute</x:v>
      </x:c>
      <x:c r="G70" s="4" t="str">
        <x:v>Aquatic</x:v>
      </x:c>
      <x:c r="H70" s="4" t="str">
        <x:v>Int-Based</x:v>
      </x:c>
    </x:row>
    <x:row r="71" ht="68" customHeight="1">
      <x:c r="A71" s="22" t="str">
        <x:v>66</x:v>
      </x:c>
      <x:c r="B71" s="4" t="str">
        <x:v>Hexurchin</x:v>
      </x:c>
      <x:c r="C71" s="4" t="str">
        <x:v>A round urchin has broad hexagonal spines that fit into a faceted shell, with tiny pink tube feet and two bead-like eyes.</x:v>
      </x:c>
      <x:c r="D71" s="4" t="str">
        <x:v>Tank</x:v>
      </x:c>
      <x:c r="E71" s="4" t="str">
        <x:v>Protective</x:v>
      </x:c>
      <x:c r="F71" s="4" t="str">
        <x:v>Uncanny</x:v>
      </x:c>
      <x:c r="G71" s="4" t="str">
        <x:v>Aquatic</x:v>
      </x:c>
      <x:c r="H71" s="4" t="str">
        <x:v>Strength-based</x:v>
      </x:c>
    </x:row>
    <x:row r="72" ht="68" customHeight="1">
      <x:c r="A72" s="22" t="str">
        <x:v>67</x:v>
      </x:c>
      <x:c r="B72" s="4" t="str">
        <x:v>Dewloop</x:v>
      </x:c>
      <x:c r="C72" s="4" t="str">
        <x:v>A clear ring of water surrounds a small suspended bead-face, with two dangling droplet feet and a folded leaf collar.</x:v>
      </x:c>
      <x:c r="D72" s="4" t="str">
        <x:v>Supp</x:v>
      </x:c>
      <x:c r="E72" s="4" t="str">
        <x:v>Cute</x:v>
      </x:c>
      <x:c r="F72" s="4" t="str">
        <x:v>Oddball</x:v>
      </x:c>
      <x:c r="G72" s="4" t="str">
        <x:v>Elemental / abstract</x:v>
      </x:c>
      <x:c r="H72" s="4" t="str">
        <x:v>Int-Based</x:v>
      </x:c>
    </x:row>
    <x:row r="73" ht="68" customHeight="1">
      <x:c r="A73" s="22" t="str">
        <x:v>68</x:v>
      </x:c>
      <x:c r="B73" s="4" t="str">
        <x:v>Driftjelly</x:v>
      </x:c>
      <x:c r="C73" s="4" t="str">
        <x:v>A soft jelly has a cap tilted far to one side, a tiny sleepy face and three unequal ribbon-like arms beneath its clear rim.</x:v>
      </x:c>
      <x:c r="D73" s="4" t="str">
        <x:v>DPS / Supp</x:v>
      </x:c>
      <x:c r="E73" s="4" t="str">
        <x:v>Uncanny</x:v>
      </x:c>
      <x:c r="F73" s="4" t="str">
        <x:v>Cute</x:v>
      </x:c>
      <x:c r="G73" s="4" t="str">
        <x:v>Aquatic</x:v>
      </x:c>
      <x:c r="H73" s="4" t="str">
        <x:v>Int-Based</x:v>
      </x:c>
    </x:row>
    <x:row r="74" ht="68" customHeight="1">
      <x:c r="A74" s="22" t="str">
        <x:v>69</x:v>
      </x:c>
      <x:c r="B74" s="4" t="str">
        <x:v>Snapglass</x:v>
      </x:c>
      <x:c r="C74" s="4" t="str">
        <x:v>A clear-bodied shrimp has one enormous prismatic claw, a narrow pointed face and a thick tail folded tightly beneath it.</x:v>
      </x:c>
      <x:c r="D74" s="4" t="str">
        <x:v>DPS</x:v>
      </x:c>
      <x:c r="E74" s="4" t="str">
        <x:v>Cunning</x:v>
      </x:c>
      <x:c r="F74" s="4" t="str">
        <x:v>Ferocious</x:v>
      </x:c>
      <x:c r="G74" s="4" t="str">
        <x:v>Invertebrate</x:v>
      </x:c>
      <x:c r="H74" s="4" t="str">
        <x:v>Strength-based</x:v>
      </x:c>
    </x:row>
    <x:row r="75" ht="68" customHeight="1">
      <x:c r="A75" s="22" t="str">
        <x:v>70</x:v>
      </x:c>
      <x:c r="B75" s="4" t="str">
        <x:v>Kiteskulk</x:v>
      </x:c>
      <x:c r="C75" s="4" t="str">
        <x:v>A folded shroud forms a wide kite-shaped body around a tiny rounded skull face, with two little feet beneath its pointed hem.</x:v>
      </x:c>
      <x:c r="D75" s="4" t="str">
        <x:v>DPS</x:v>
      </x:c>
      <x:c r="E75" s="4" t="str">
        <x:v>Cunning</x:v>
      </x:c>
      <x:c r="F75" s="4" t="str">
        <x:v>Cute</x:v>
      </x:c>
      <x:c r="G75" s="4" t="str">
        <x:v>Afterlife spirit</x:v>
      </x:c>
      <x:c r="H75" s="4" t="str">
        <x:v>Int-Based</x:v>
      </x:c>
    </x:row>
    <x:row r="76" ht="68" customHeight="1">
      <x:c r="A76" s="22" t="str">
        <x:v>71</x:v>
      </x:c>
      <x:c r="B76" s="4" t="str">
        <x:v>Lotusmanta</x:v>
      </x:c>
      <x:c r="C76" s="4" t="str">
        <x:v>A broad manta has layered, petal-like fins, a short curling tail and a serene face set beneath the front edge of its body.</x:v>
      </x:c>
      <x:c r="D76" s="4" t="str">
        <x:v>Supp</x:v>
      </x:c>
      <x:c r="E76" s="4" t="str">
        <x:v>Majestic</x:v>
      </x:c>
      <x:c r="F76" s="4" t="str">
        <x:v>Protective</x:v>
      </x:c>
      <x:c r="G76" s="4" t="str">
        <x:v>Aquatic</x:v>
      </x:c>
      <x:c r="H76" s="4" t="str">
        <x:v>Int-Based</x:v>
      </x:c>
    </x:row>
    <x:row r="77" ht="68" customHeight="1">
      <x:c r="A77" s="22" t="str">
        <x:v>72</x:v>
      </x:c>
      <x:c r="B77" s="4" t="str">
        <x:v>Mistmelt</x:v>
      </x:c>
      <x:c r="C77" s="4" t="str">
        <x:v>A broad mist body has two drooping arm-lobes, small dark eyes and a clean oval window passing straight through its torso.</x:v>
      </x:c>
      <x:c r="D77" s="4" t="str">
        <x:v>Fighter / Tank</x:v>
      </x:c>
      <x:c r="E77" s="4" t="str">
        <x:v>Uncanny</x:v>
      </x:c>
      <x:c r="F77" s="4" t="str">
        <x:v>Oddball</x:v>
      </x:c>
      <x:c r="G77" s="4" t="str">
        <x:v>Elemental / abstract</x:v>
      </x:c>
      <x:c r="H77" s="4" t="str">
        <x:v>Strength-based</x:v>
      </x:c>
    </x:row>
    <x:row r="78" ht="54" customHeight="1">
      <x:c r="A78" s="22" t="str">
        <x:v>73</x:v>
      </x:c>
      <x:c r="B78" s="4" t="str">
        <x:v>Cairnclamp</x:v>
      </x:c>
      <x:c r="C78" s="4" t="str">
        <x:v>A low stack of shale forms a deep-set face between two enormous arch-shaped arms, with four small stones for feet.</x:v>
      </x:c>
      <x:c r="D78" s="4" t="str">
        <x:v>Fighter / Tank</x:v>
      </x:c>
      <x:c r="E78" s="4" t="str">
        <x:v>Protective</x:v>
      </x:c>
      <x:c r="F78" s="4" t="str">
        <x:v>Ferocious</x:v>
      </x:c>
      <x:c r="G78" s="4" t="str">
        <x:v>Construct</x:v>
      </x:c>
      <x:c r="H78" s="4" t="str">
        <x:v>Strength-based</x:v>
      </x:c>
    </x:row>
    <x:row r="79" ht="68" customHeight="1">
      <x:c r="A79" s="22" t="str">
        <x:v>74</x:v>
      </x:c>
      <x:c r="B79" s="4" t="str">
        <x:v>Tideotter</x:v>
      </x:c>
      <x:c r="C79" s="4" t="str">
        <x:v>A small otter has broad paddle-like mittens, a thick flat tail and a pale muzzle framed by two swept-back cheek tufts.</x:v>
      </x:c>
      <x:c r="D79" s="4" t="str">
        <x:v>Fighter / Supp</x:v>
      </x:c>
      <x:c r="E79" s="4" t="str">
        <x:v>Cute</x:v>
      </x:c>
      <x:c r="F79" s="4" t="str">
        <x:v>Cunning</x:v>
      </x:c>
      <x:c r="G79" s="4" t="str">
        <x:v>Beast</x:v>
      </x:c>
      <x:c r="H79" s="4" t="str">
        <x:v>Strength-based</x:v>
      </x:c>
    </x:row>
    <x:row r="80" ht="68" customHeight="1">
      <x:c r="A80" s="22" t="str">
        <x:v>75</x:v>
      </x:c>
      <x:c r="B80" s="4" t="str">
        <x:v>Veilora</x:v>
      </x:c>
      <x:c r="C80" s="4" t="str">
        <x:v>An empty flowing veil frames two gentle lights, held open by oversized rounded bone hands above a small scalloped hem.</x:v>
      </x:c>
      <x:c r="D80" s="4" t="str">
        <x:v>DPS / Supp</x:v>
      </x:c>
      <x:c r="E80" s="4" t="str">
        <x:v>Majestic</x:v>
      </x:c>
      <x:c r="F80" s="4" t="str">
        <x:v>Cute</x:v>
      </x:c>
      <x:c r="G80" s="4" t="str">
        <x:v>Afterlife spirit</x:v>
      </x:c>
      <x:c r="H80" s="4" t="str">
        <x:v>Int-Based</x:v>
      </x:c>
    </x:row>
    <x:row r="81" ht="68" customHeight="1">
      <x:c r="A81" s="22" t="str">
        <x:v>76</x:v>
      </x:c>
      <x:c r="B81" s="4" t="str">
        <x:v>Ashbasilisk</x:v>
      </x:c>
      <x:c r="C81" s="4" t="str">
        <x:v>A low black lizard has a broad forked crest around its eyes, a tightly curled tail and pale plates beneath its heavy jaw.</x:v>
      </x:c>
      <x:c r="D81" s="4" t="str">
        <x:v>DPS</x:v>
      </x:c>
      <x:c r="E81" s="4" t="str">
        <x:v>Ferocious</x:v>
      </x:c>
      <x:c r="F81" s="4" t="str">
        <x:v>Uncanny</x:v>
      </x:c>
      <x:c r="G81" s="4" t="str">
        <x:v>Reptile / amphibian</x:v>
      </x:c>
      <x:c r="H81" s="4" t="str">
        <x:v>Strength-based</x:v>
      </x:c>
    </x:row>
    <x:row r="82" ht="68" customHeight="1">
      <x:c r="A82" s="22" t="str">
        <x:v>77</x:v>
      </x:c>
      <x:c r="B82" s="4" t="str">
        <x:v>Slagbud</x:v>
      </x:c>
      <x:c r="C82" s="4" t="str">
        <x:v>A squat succulent stands on three root feet, with thick basalt-colored leaves cupping a tiny bright face at its center.</x:v>
      </x:c>
      <x:c r="D82" s="4" t="str">
        <x:v>Tank</x:v>
      </x:c>
      <x:c r="E82" s="4" t="str">
        <x:v>Cute</x:v>
      </x:c>
      <x:c r="F82" s="4" t="str">
        <x:v>Protective</x:v>
      </x:c>
      <x:c r="G82" s="4" t="str">
        <x:v>Plant / fungus</x:v>
      </x:c>
      <x:c r="H82" s="4" t="str">
        <x:v>Strength-based</x:v>
      </x:c>
    </x:row>
    <x:row r="83" ht="54" customHeight="1">
      <x:c r="A83" s="22" t="str">
        <x:v>78</x:v>
      </x:c>
      <x:c r="B83" s="4" t="str">
        <x:v>Cinderempress</x:v>
      </x:c>
      <x:c r="C83" s="4" t="str">
        <x:v>A regal, low-bodied salamander has a crown-shaped crest and a broad pleated tail that opens into a glowing fan.</x:v>
      </x:c>
      <x:c r="D83" s="4" t="str">
        <x:v>Fighter</x:v>
      </x:c>
      <x:c r="E83" s="4" t="str">
        <x:v>Majestic</x:v>
      </x:c>
      <x:c r="F83" s="4" t="str">
        <x:v>Ferocious</x:v>
      </x:c>
      <x:c r="G83" s="4" t="str">
        <x:v>Mythic</x:v>
      </x:c>
      <x:c r="H83" s="4" t="str">
        <x:v>Int-Based</x:v>
      </x:c>
    </x:row>
    <x:row r="84" ht="68" customHeight="1">
      <x:c r="A84" s="22" t="str">
        <x:v>79</x:v>
      </x:c>
      <x:c r="B84" s="4" t="str">
        <x:v>Ashskate</x:v>
      </x:c>
      <x:c r="C84" s="4" t="str">
        <x:v>A flat skink has a long balancing tail, small alert eyes and four broad blade-shaped feet splayed close to the ground.</x:v>
      </x:c>
      <x:c r="D84" s="4" t="str">
        <x:v>DPS</x:v>
      </x:c>
      <x:c r="E84" s="4" t="str">
        <x:v>Cunning</x:v>
      </x:c>
      <x:c r="F84" s="4" t="str">
        <x:v>Cute</x:v>
      </x:c>
      <x:c r="G84" s="4" t="str">
        <x:v>Reptile / amphibian</x:v>
      </x:c>
      <x:c r="H84" s="4" t="str">
        <x:v>Int-Based</x:v>
      </x:c>
    </x:row>
    <x:row r="85" ht="68" customHeight="1">
      <x:c r="A85" s="22" t="str">
        <x:v>80</x:v>
      </x:c>
      <x:c r="B85" s="4" t="str">
        <x:v>Ribwhirl</x:v>
      </x:c>
      <x:c r="C85" s="4" t="str">
        <x:v>A ring of rounded ribs forms a wheel around a small grinning skull, with two oversized bone hands hanging at its sides.</x:v>
      </x:c>
      <x:c r="D85" s="4" t="str">
        <x:v>Fighter</x:v>
      </x:c>
      <x:c r="E85" s="4" t="str">
        <x:v>Oddball</x:v>
      </x:c>
      <x:c r="F85" s="4" t="str">
        <x:v>Cute</x:v>
      </x:c>
      <x:c r="G85" s="4" t="str">
        <x:v>Skeletal / undead</x:v>
      </x:c>
      <x:c r="H85" s="4" t="str">
        <x:v>Int-Based</x:v>
      </x:c>
    </x:row>
    <x:row r="86" ht="68" customHeight="1">
      <x:c r="A86" s="22" t="str">
        <x:v>81</x:v>
      </x:c>
      <x:c r="B86" s="4" t="str">
        <x:v>Ferncoil</x:v>
      </x:c>
      <x:c r="C86" s="4" t="str">
        <x:v>A tightly coiled fern has hooked root feet, two pale eyes beneath its fronds and a long stem edged with folding leaf blades.</x:v>
      </x:c>
      <x:c r="D86" s="4" t="str">
        <x:v>DPS</x:v>
      </x:c>
      <x:c r="E86" s="4" t="str">
        <x:v>Cunning</x:v>
      </x:c>
      <x:c r="F86" s="4" t="str">
        <x:v>Uncanny</x:v>
      </x:c>
      <x:c r="G86" s="4" t="str">
        <x:v>Plant / fungus</x:v>
      </x:c>
      <x:c r="H86" s="4" t="str">
        <x:v>Dex-Based</x:v>
      </x:c>
    </x:row>
    <x:row r="87" ht="68" customHeight="1">
      <x:c r="A87" s="22" t="str">
        <x:v>82</x:v>
      </x:c>
      <x:c r="B87" s="4" t="str">
        <x:v>Ironback</x:v>
      </x:c>
      <x:c r="C87" s="4" t="str">
        <x:v>A broad turtle has one oversized shell plate that tilts upright, thick forelegs and a small, stern face under a deep brow.</x:v>
      </x:c>
      <x:c r="D87" s="4" t="str">
        <x:v>Tank</x:v>
      </x:c>
      <x:c r="E87" s="4" t="str">
        <x:v>Protective</x:v>
      </x:c>
      <x:c r="F87" s="4" t="str">
        <x:v>Ferocious</x:v>
      </x:c>
      <x:c r="G87" s="4" t="str">
        <x:v>Reptile / amphibian</x:v>
      </x:c>
      <x:c r="H87" s="4" t="str">
        <x:v>Strength-based</x:v>
      </x:c>
    </x:row>
    <x:row r="88" ht="68" customHeight="1">
      <x:c r="A88" s="22" t="str">
        <x:v>83</x:v>
      </x:c>
      <x:c r="B88" s="4" t="str">
        <x:v>Moltencoil</x:v>
      </x:c>
      <x:c r="C88" s="4" t="str">
        <x:v>A thick serpent wears loose black slag rings around a narrow bright body, with a blunt wedge-shaped head and small hot eyes.</x:v>
      </x:c>
      <x:c r="D88" s="4" t="str">
        <x:v>Fighter</x:v>
      </x:c>
      <x:c r="E88" s="4" t="str">
        <x:v>Ferocious</x:v>
      </x:c>
      <x:c r="F88" s="4" t="str">
        <x:v>Cunning</x:v>
      </x:c>
      <x:c r="G88" s="4" t="str">
        <x:v>Reptile / amphibian</x:v>
      </x:c>
      <x:c r="H88" s="4" t="str">
        <x:v>Dex-Based</x:v>
      </x:c>
    </x:row>
    <x:row r="89" ht="68" customHeight="1">
      <x:c r="A89" s="22" t="str">
        <x:v>84</x:v>
      </x:c>
      <x:c r="B89" s="4" t="str">
        <x:v>Steamaxolotl</x:v>
      </x:c>
      <x:c r="C89" s="4" t="str">
        <x:v>A round axolotl has tiny mitten feet, a wide gentle mouth and layered feathery gills that curl upward like soft steam plumes.</x:v>
      </x:c>
      <x:c r="D89" s="4" t="str">
        <x:v>Supp</x:v>
      </x:c>
      <x:c r="E89" s="4" t="str">
        <x:v>Cute</x:v>
      </x:c>
      <x:c r="F89" s="4" t="str">
        <x:v>Protective</x:v>
      </x:c>
      <x:c r="G89" s="4" t="str">
        <x:v>Reptile / amphibian</x:v>
      </x:c>
      <x:c r="H89" s="4" t="str">
        <x:v>Int-Based</x:v>
      </x:c>
    </x:row>
    <x:row r="90" ht="68" customHeight="1">
      <x:c r="A90" s="22" t="str">
        <x:v>85</x:v>
      </x:c>
      <x:c r="B90" s="4" t="str">
        <x:v>Tidecrown</x:v>
      </x:c>
      <x:c r="C90" s="4" t="str">
        <x:v>A tall spiral of clear water sits within a floating crown of broad shell plates, with two gentle lights deep in its center.</x:v>
      </x:c>
      <x:c r="D90" s="4" t="str">
        <x:v>Tank / Supp</x:v>
      </x:c>
      <x:c r="E90" s="4" t="str">
        <x:v>Majestic</x:v>
      </x:c>
      <x:c r="F90" s="4" t="str">
        <x:v>Protective</x:v>
      </x:c>
      <x:c r="G90" s="4" t="str">
        <x:v>Mythic</x:v>
      </x:c>
      <x:c r="H90" s="4" t="str">
        <x:v>Int-Based</x:v>
      </x:c>
    </x:row>
    <x:row r="91" ht="68" customHeight="1">
      <x:c r="A91" s="22" t="str">
        <x:v>86</x:v>
      </x:c>
      <x:c r="B91" s="4" t="str">
        <x:v>Elderroot</x:v>
      </x:c>
      <x:c r="C91" s="4" t="str">
        <x:v>A huge hollow trunk walks on branching root hands, with an arch-shaped torso and a broad face beneath hanging moss brows.</x:v>
      </x:c>
      <x:c r="D91" s="4" t="str">
        <x:v>Tank</x:v>
      </x:c>
      <x:c r="E91" s="4" t="str">
        <x:v>Protective</x:v>
      </x:c>
      <x:c r="F91" s="4" t="str">
        <x:v>Majestic</x:v>
      </x:c>
      <x:c r="G91" s="4" t="str">
        <x:v>Plant / fungus</x:v>
      </x:c>
      <x:c r="H91" s="4" t="str">
        <x:v>Strength-based</x:v>
      </x:c>
    </x:row>
    <x:row r="92" ht="68" customHeight="1">
      <x:c r="A92" s="22" t="str">
        <x:v>87</x:v>
      </x:c>
      <x:c r="B92" s="4" t="str">
        <x:v>Emberorchid</x:v>
      </x:c>
      <x:c r="C92" s="4" t="str">
        <x:v>A tall orchid stands on four pointed roots, its broad petals folding into a beak-like jaw around a small glowing seed.</x:v>
      </x:c>
      <x:c r="D92" s="4" t="str">
        <x:v>DPS</x:v>
      </x:c>
      <x:c r="E92" s="4" t="str">
        <x:v>Ferocious</x:v>
      </x:c>
      <x:c r="F92" s="4" t="str">
        <x:v>Majestic</x:v>
      </x:c>
      <x:c r="G92" s="4" t="str">
        <x:v>Plant / fungus</x:v>
      </x:c>
      <x:c r="H92" s="4" t="str">
        <x:v>Int-Based</x:v>
      </x:c>
    </x:row>
    <x:row r="93" ht="68" customHeight="1">
      <x:c r="A93" s="22" t="str">
        <x:v>88</x:v>
      </x:c>
      <x:c r="B93" s="4" t="str">
        <x:v>Glowcap</x:v>
      </x:c>
      <x:c r="C93" s="4" t="str">
        <x:v>A small mushroom body peers up at its own wide hovering cap, with tiny root hands reaching toward the cap's pale underside.</x:v>
      </x:c>
      <x:c r="D93" s="4" t="str">
        <x:v>Supp</x:v>
      </x:c>
      <x:c r="E93" s="4" t="str">
        <x:v>Cute</x:v>
      </x:c>
      <x:c r="F93" s="4" t="str">
        <x:v>Uncanny</x:v>
      </x:c>
      <x:c r="G93" s="4" t="str">
        <x:v>Plant / fungus</x:v>
      </x:c>
      <x:c r="H93" s="4" t="str">
        <x:v>Int-Based</x:v>
      </x:c>
    </x:row>
    <x:row r="94" ht="68" customHeight="1">
      <x:c r="A94" s="22" t="str">
        <x:v>89</x:v>
      </x:c>
      <x:c r="B94" s="4" t="str">
        <x:v>Marigloom</x:v>
      </x:c>
      <x:c r="C94" s="4" t="str">
        <x:v>A small ivory face floats within a wide rosette of soft petals, with two little hands dangling beneath its flower-cloak.</x:v>
      </x:c>
      <x:c r="D94" s="4" t="str">
        <x:v>Supp</x:v>
      </x:c>
      <x:c r="E94" s="4" t="str">
        <x:v>Majestic</x:v>
      </x:c>
      <x:c r="F94" s="4" t="str">
        <x:v>Cute</x:v>
      </x:c>
      <x:c r="G94" s="4" t="str">
        <x:v>Afterlife spirit</x:v>
      </x:c>
      <x:c r="H94" s="4" t="str">
        <x:v>Int-Based</x:v>
      </x:c>
    </x:row>
    <x:row r="95" ht="68" customHeight="1">
      <x:c r="A95" s="22" t="str">
        <x:v>90</x:v>
      </x:c>
      <x:c r="B95" s="4" t="str">
        <x:v>Mossling</x:v>
      </x:c>
      <x:c r="C95" s="4" t="str">
        <x:v>A squat moss being has a hollow, bowl-shaped head, root mittens and small seedlings sprouting from patched areas of its body.</x:v>
      </x:c>
      <x:c r="D95" s="4" t="str">
        <x:v>Tank / Supp</x:v>
      </x:c>
      <x:c r="E95" s="4" t="str">
        <x:v>Cute</x:v>
      </x:c>
      <x:c r="F95" s="4" t="str">
        <x:v>Protective</x:v>
      </x:c>
      <x:c r="G95" s="4" t="str">
        <x:v>Plant / fungus</x:v>
      </x:c>
      <x:c r="H95" s="4" t="str">
        <x:v>Strength-based</x:v>
      </x:c>
    </x:row>
    <x:row r="96" ht="68" customHeight="1">
      <x:c r="A96" s="22" t="str">
        <x:v>91</x:v>
      </x:c>
      <x:c r="B96" s="4" t="str">
        <x:v>Skycorolla</x:v>
      </x:c>
      <x:c r="C96" s="4" t="str">
        <x:v>A narrow seed body hangs beneath four large pinwheel petals, with long curved roots trailing behind a tiny pointed face.</x:v>
      </x:c>
      <x:c r="D96" s="4" t="str">
        <x:v>DPS</x:v>
      </x:c>
      <x:c r="E96" s="4" t="str">
        <x:v>Majestic</x:v>
      </x:c>
      <x:c r="F96" s="4" t="str">
        <x:v>Cunning</x:v>
      </x:c>
      <x:c r="G96" s="4" t="str">
        <x:v>Plant / fungus</x:v>
      </x:c>
      <x:c r="H96" s="4" t="str">
        <x:v>Int-Based</x:v>
      </x:c>
    </x:row>
    <x:row r="97" ht="68" customHeight="1">
      <x:c r="A97" s="22" t="str">
        <x:v>92</x:v>
      </x:c>
      <x:c r="B97" s="4" t="str">
        <x:v>Ambercolossus</x:v>
      </x:c>
      <x:c r="C97" s="4" t="str">
        <x:v>A monumental amber frame surrounds a small bright core, with broad separated arms and a recessed, surprisingly gentle face.</x:v>
      </x:c>
      <x:c r="D97" s="4" t="str">
        <x:v>Tank</x:v>
      </x:c>
      <x:c r="E97" s="4" t="str">
        <x:v>Protective</x:v>
      </x:c>
      <x:c r="F97" s="4" t="str">
        <x:v>Majestic</x:v>
      </x:c>
      <x:c r="G97" s="4" t="str">
        <x:v>Construct</x:v>
      </x:c>
      <x:c r="H97" s="4" t="str">
        <x:v>Strength-based</x:v>
      </x:c>
    </x:row>
    <x:row r="98" ht="68" customHeight="1">
      <x:c r="A98" s="22" t="str">
        <x:v>93</x:v>
      </x:c>
      <x:c r="B98" s="4" t="str">
        <x:v>Bloomslime</x:v>
      </x:c>
      <x:c r="C98" s="4" t="str">
        <x:v>A clear, wobbly slime holds a huge closed flower bud inside its body, with stubby feet and a tiny face below the bud.</x:v>
      </x:c>
      <x:c r="D98" s="4" t="str">
        <x:v>Tank / Supp</x:v>
      </x:c>
      <x:c r="E98" s="4" t="str">
        <x:v>Oddball</x:v>
      </x:c>
      <x:c r="F98" s="4" t="str">
        <x:v>Cute</x:v>
      </x:c>
      <x:c r="G98" s="4" t="str">
        <x:v>Elemental / abstract</x:v>
      </x:c>
      <x:c r="H98" s="4" t="str">
        <x:v>Int-Based</x:v>
      </x:c>
    </x:row>
    <x:row r="99" ht="68" customHeight="1">
      <x:c r="A99" s="22" t="str">
        <x:v>94</x:v>
      </x:c>
      <x:c r="B99" s="4" t="str">
        <x:v>Echochime</x:v>
      </x:c>
      <x:c r="C99" s="4" t="str">
        <x:v>A small faceless bell floats above a shadow with an expressive round face and soft ears; its body has two tiny side handles.</x:v>
      </x:c>
      <x:c r="D99" s="4" t="str">
        <x:v>Supp</x:v>
      </x:c>
      <x:c r="E99" s="4" t="str">
        <x:v>Uncanny</x:v>
      </x:c>
      <x:c r="F99" s="4" t="str">
        <x:v>Cute</x:v>
      </x:c>
      <x:c r="G99" s="4" t="str">
        <x:v>Haunted object</x:v>
      </x:c>
      <x:c r="H99" s="4" t="str">
        <x:v>Int-Based</x:v>
      </x:c>
    </x:row>
    <x:row r="100" ht="68" customHeight="1">
      <x:c r="A100" s="22" t="str">
        <x:v>95</x:v>
      </x:c>
      <x:c r="B100" s="4" t="str">
        <x:v>Inksprite</x:v>
      </x:c>
      <x:c r="C100" s="4" t="str">
        <x:v>A flat inkblot has a crooked white grin, two long brush-tip arms and a pointed head that folds over like wet paper.</x:v>
      </x:c>
      <x:c r="D100" s="4" t="str">
        <x:v>DPS</x:v>
      </x:c>
      <x:c r="E100" s="4" t="str">
        <x:v>Cunning</x:v>
      </x:c>
      <x:c r="F100" s="4" t="str">
        <x:v>Oddball</x:v>
      </x:c>
      <x:c r="G100" s="4" t="str">
        <x:v>Elemental / abstract</x:v>
      </x:c>
      <x:c r="H100" s="4" t="str">
        <x:v>Dex-Based</x:v>
      </x:c>
    </x:row>
    <x:row r="101" ht="68" customHeight="1">
      <x:c r="A101" s="22" t="str">
        <x:v>96</x:v>
      </x:c>
      <x:c r="B101" s="4" t="str">
        <x:v>Cairnkin</x:v>
      </x:c>
      <x:c r="C101" s="4" t="str">
        <x:v>A squat skeletal guardian holds a broad jawbone shield, with thick knucklebone limbs and two shy lights deep in its skull.</x:v>
      </x:c>
      <x:c r="D101" s="4" t="str">
        <x:v>Tank</x:v>
      </x:c>
      <x:c r="E101" s="4" t="str">
        <x:v>Protective</x:v>
      </x:c>
      <x:c r="F101" s="4" t="str">
        <x:v>Cute</x:v>
      </x:c>
      <x:c r="G101" s="4" t="str">
        <x:v>Skeletal / undead</x:v>
      </x:c>
      <x:c r="H101" s="4" t="str">
        <x:v>Strength-based</x:v>
      </x:c>
    </x:row>
    <x:row r="102" ht="68" customHeight="1">
      <x:c r="A102" s="22" t="str">
        <x:v>97</x:v>
      </x:c>
      <x:c r="B102" s="4" t="str">
        <x:v>Casketot</x:v>
      </x:c>
      <x:c r="C102" s="4" t="str">
        <x:v>A small rounded coffin has a shy face in its dark opening, soft spectral arms at its sides and two stubby wooden feet.</x:v>
      </x:c>
      <x:c r="D102" s="4" t="str">
        <x:v>Tank</x:v>
      </x:c>
      <x:c r="E102" s="4" t="str">
        <x:v>Cute</x:v>
      </x:c>
      <x:c r="F102" s="4" t="str">
        <x:v>Uncanny</x:v>
      </x:c>
      <x:c r="G102" s="4" t="str">
        <x:v>Haunted object</x:v>
      </x:c>
      <x:c r="H102" s="4" t="str">
        <x:v>Int-Based</x:v>
      </x:c>
    </x:row>
    <x:row r="103" ht="68" customHeight="1">
      <x:c r="A103" s="22" t="str">
        <x:v>98</x:v>
      </x:c>
      <x:c r="B103" s="4" t="str">
        <x:v>Kilncoil</x:v>
      </x:c>
      <x:c r="C103" s="4" t="str">
        <x:v>A long armored crawler has broad overlapping kiln-like plates, many short gripping feet and a heavy blunt head with tiny eyes.</x:v>
      </x:c>
      <x:c r="D103" s="4" t="str">
        <x:v>Fighter</x:v>
      </x:c>
      <x:c r="E103" s="4" t="str">
        <x:v>Ferocious</x:v>
      </x:c>
      <x:c r="F103" s="4" t="str">
        <x:v>Cunning</x:v>
      </x:c>
      <x:c r="G103" s="4" t="str">
        <x:v>Invertebrate</x:v>
      </x:c>
      <x:c r="H103" s="4" t="str">
        <x:v>Strength-based</x:v>
      </x:c>
    </x:row>
    <x:row r="104" ht="68" customHeight="1">
      <x:c r="A104" s="22" t="str">
        <x:v>99</x:v>
      </x:c>
      <x:c r="B104" s="4" t="str">
        <x:v>Maskin</x:v>
      </x:c>
      <x:c r="C104" s="4" t="str">
        <x:v>Three tiny round spirits carry one oversized smiling mask, with their little hands and dangling feet visible around its edge.</x:v>
      </x:c>
      <x:c r="D104" s="4" t="str">
        <x:v>DPS / Supp</x:v>
      </x:c>
      <x:c r="E104" s="4" t="str">
        <x:v>Uncanny</x:v>
      </x:c>
      <x:c r="F104" s="4" t="str">
        <x:v>Cute</x:v>
      </x:c>
      <x:c r="G104" s="4" t="str">
        <x:v>Afterlife spirit</x:v>
      </x:c>
      <x:c r="H104" s="4" t="str">
        <x:v>Int-Based</x:v>
      </x:c>
    </x:row>
    <x:row r="105" ht="68" customHeight="1">
      <x:c r="A105" s="22" t="str">
        <x:v>100</x:v>
      </x:c>
      <x:c r="B105" s="4" t="str">
        <x:v>Shellsnail</x:v>
      </x:c>
      <x:c r="C105" s="4" t="str">
        <x:v>A small snail has a huge backward-wound spiral shell, a broad flat foot and short eye stalks above a determined little mouth.</x:v>
      </x:c>
      <x:c r="D105" s="4" t="str">
        <x:v>Fighter</x:v>
      </x:c>
      <x:c r="E105" s="4" t="str">
        <x:v>Oddball</x:v>
      </x:c>
      <x:c r="F105" s="4" t="str">
        <x:v>Cute</x:v>
      </x:c>
      <x:c r="G105" s="4" t="str">
        <x:v>Aquatic</x:v>
      </x:c>
      <x:c r="H105" s="4" t="str">
        <x:v>Strength-based</x:v>
      </x:c>
    </x:row>
  </x:sheetData>
  <x:mergeCells>
    <x:mergeCell ref="A1:H2"/>
    <x:mergeCell ref="A3:H3"/>
  </x:mergeCells>
  <x:pageMargins left="0.7" right="0.7" top="0.75" bottom="0.75" header="0.3" footer="0.3"/>
  <x:tableParts count="1">
    <x:tablePart xmlns:r="http://schemas.openxmlformats.org/officeDocument/2006/relationships" r:id="R679d829ea02944b3"/>
  </x:tableParts>
</x:worksheet>
</file>

<file path=xl/worksheets/sheet8.xml><?xml version="1.0" encoding="utf-8"?>
<x:worksheet xmlns:x="http://schemas.openxmlformats.org/spreadsheetml/2006/main">
  <x:sheetFormatPr defaultRowHeight="15"/>
  <x:cols>
    <x:col min="1" max="1" width="6" hidden="0" customWidth="1"/>
    <x:col min="2" max="2" width="18" hidden="0" customWidth="1"/>
    <x:col min="3" max="3" width="28" hidden="0" customWidth="1"/>
    <x:col min="4" max="4" width="40" hidden="0" customWidth="1"/>
    <x:col min="5" max="5" width="40" hidden="0" customWidth="1"/>
    <x:col min="6" max="6" width="40" hidden="0" customWidth="1"/>
    <x:col min="7" max="7" width="32" hidden="0" customWidth="1"/>
  </x:cols>
  <x:sheetData>
    <x:row r="1">
      <x:c r="A1" s="63" t="str">
        <x:v>HUNTARIA  |  CHANGE LOG  ·  v2</x:v>
      </x:c>
      <x:c r="B1" s="63"/>
      <x:c r="C1" s="63"/>
      <x:c r="D1" s="63"/>
      <x:c r="E1" s="63"/>
      <x:c r="F1" s="63"/>
      <x:c r="G1" s="63"/>
    </x:row>
    <x:row r="2">
      <x:c r="A2" s="63"/>
      <x:c r="B2" s="63"/>
      <x:c r="C2" s="63"/>
      <x:c r="D2" s="63"/>
      <x:c r="E2" s="63"/>
      <x:c r="F2" s="63"/>
      <x:c r="G2" s="63"/>
    </x:row>
    <x:row r="3" ht="30" customHeight="1">
      <x:c r="A3" s="53" t="str">
        <x:v>Only the 20 changed species. Read these reasons and encounter trade-offs before implementing.</x:v>
      </x:c>
      <x:c r="B3" s="53"/>
      <x:c r="C3" s="53"/>
      <x:c r="D3" s="53"/>
      <x:c r="E3" s="53"/>
      <x:c r="F3" s="53"/>
      <x:c r="G3" s="53"/>
    </x:row>
    <x:row r="5" ht="32" customHeight="1">
      <x:c r="A5" s="56" t="str">
        <x:v>ID</x:v>
      </x:c>
      <x:c r="B5" s="56" t="str">
        <x:v>Species</x:v>
      </x:c>
      <x:c r="C5" s="56" t="str">
        <x:v>Change type</x:v>
      </x:c>
      <x:c r="D5" s="56" t="str">
        <x:v>Why change</x:v>
      </x:c>
      <x:c r="E5" s="56" t="str">
        <x:v>One boss</x:v>
      </x:c>
      <x:c r="F5" s="56" t="str">
        <x:v>Groups / waves</x:v>
      </x:c>
      <x:c r="G5" s="56" t="str">
        <x:v>New entities</x:v>
      </x:c>
    </x:row>
    <x:row r="6" ht="60" customHeight="1">
      <x:c r="A6" s="50" t="n">
        <x:v>18</x:v>
      </x:c>
      <x:c r="B6" s="50" t="str">
        <x:v>Pyreling</x:v>
      </x:c>
      <x:c r="C6" s="50" t="str">
        <x:v>Boss / group refinement</x:v>
      </x:c>
      <x:c r="D6" s="50" t="str">
        <x:v>Provide a boss-without-adds trigger for the one-time flare rather than leaving its whole passive dormant until the only enemy dies.</x:v>
      </x:c>
      <x:c r="E6" s="50" t="str">
        <x:v>A single enemy below 50% HP can trigger the flare even if nothing dies.</x:v>
      </x:c>
      <x:c r="F6" s="50" t="str">
        <x:v>The first eligible encounter-enemy death can trigger it sooner; it remains once per battle.</x:v>
      </x:c>
      <x:c r="G6" s="50" t="str">
        <x:v>No new entity</x:v>
      </x:c>
    </x:row>
    <x:row r="7" ht="47.5" customHeight="1">
      <x:c r="A7" s="50" t="n">
        <x:v>23</x:v>
      </x:c>
      <x:c r="B7" s="50" t="str">
        <x:v>Squallcub</x:v>
      </x:c>
      <x:c r="C7" s="50" t="str">
        <x:v>Boss / group refinement</x:v>
      </x:c>
      <x:c r="D7" s="50" t="str">
        <x:v>Replace the former assumption of exactly one other enemy monster with explicit local, capped splash.</x:v>
      </x:c>
      <x:c r="E7" s="50" t="str">
        <x:v>Primary damage is unchanged; unused splash never hits the boss again.</x:v>
      </x:c>
      <x:c r="F7" s="50" t="str">
        <x:v>Up to two additional enemies in a 1.5R radius can take the smaller secondary hit.</x:v>
      </x:c>
      <x:c r="G7" s="50" t="str">
        <x:v>No new entity</x:v>
      </x:c>
    </x:row>
    <x:row r="8" ht="72.5" customHeight="1">
      <x:c r="A8" s="50" t="n">
        <x:v>24</x:v>
      </x:c>
      <x:c r="B8" s="50" t="str">
        <x:v>Pinstitch</x:v>
      </x:c>
      <x:c r="C8" s="50" t="str">
        <x:v>Summon / arena rework</x:v>
      </x:c>
      <x:c r="D8" s="50" t="str">
        <x:v>A pin-and-thread doll naturally supports a destructible linked effigy. Add a deliberate sustained boss-damage alternative without turning it into a MATK curse caster.</x:v>
      </x:c>
      <x:c r="E8" s="50" t="str">
        <x:v>A durable boss can sustain all 6 effigy triggers; reducing healing is additional utility, not a prerequisite.</x:v>
      </x:c>
      <x:c r="F8" s="50" t="str">
        <x:v>Use Pull the Seam for short-lived enemies rather than losing a long deployment every time the target dies.</x:v>
      </x:c>
      <x:c r="G8" s="50" t="str">
        <x:v>Stitched Effigy</x:v>
      </x:c>
    </x:row>
    <x:row r="9" ht="47.5" customHeight="1">
      <x:c r="A9" s="50" t="n">
        <x:v>29</x:v>
      </x:c>
      <x:c r="B9" s="50" t="str">
        <x:v>Glassphoenix</x:v>
      </x:c>
      <x:c r="C9" s="50" t="str">
        <x:v>Boss / group refinement</x:v>
      </x:c>
      <x:c r="D9" s="50" t="str">
        <x:v>Replace the former assumption of exactly one other enemy monster with explicit local, capped splash.</x:v>
      </x:c>
      <x:c r="E9" s="50" t="str">
        <x:v>Primary damage is unchanged; unused splash never hits the boss again.</x:v>
      </x:c>
      <x:c r="F9" s="50" t="str">
        <x:v>Up to two additional enemies in a 1.5R radius can take the smaller secondary hit.</x:v>
      </x:c>
      <x:c r="G9" s="50" t="str">
        <x:v>No new entity</x:v>
      </x:c>
    </x:row>
    <x:row r="10" ht="60" customHeight="1">
      <x:c r="A10" s="50" t="n">
        <x:v>34</x:v>
      </x:c>
      <x:c r="B10" s="50" t="str">
        <x:v>Snipstream</x:v>
      </x:c>
      <x:c r="C10" s="50" t="str">
        <x:v>Boss / group refinement</x:v>
      </x:c>
      <x:c r="D10" s="50" t="str">
        <x:v>Retain overkill transfer but let accuracy investment earn a modest stored cut against one long-lived target.</x:v>
      </x:c>
      <x:c r="E10" s="50" t="str">
        <x:v>Three consecutive landed personal basics fill a small reserve without a kill.</x:v>
      </x:c>
      <x:c r="F10" s="50" t="str">
        <x:v>Overkill offers a larger reserve for the next legal target, with no recursive chain.</x:v>
      </x:c>
      <x:c r="G10" s="50" t="str">
        <x:v>No new entity</x:v>
      </x:c>
    </x:row>
    <x:row r="11" ht="72.5" customHeight="1">
      <x:c r="A11" s="50" t="n">
        <x:v>37</x:v>
      </x:c>
      <x:c r="B11" s="50" t="str">
        <x:v>Tempestool</x:v>
      </x:c>
      <x:c r="C11" s="50" t="str">
        <x:v>Summon / arena rework</x:v>
      </x:c>
      <x:c r="D11" s="50" t="str">
        <x:v>Its floating storm-mushroom cap and funnel support a grounded stormcap totem: stationary enemies can be shocked repeatedly without any movement mechanic.</x:v>
      </x:c>
      <x:c r="E11" s="50" t="str">
        <x:v>All three primary pulses work on a stationary lone boss; control immunity does not stop ordinary damage.</x:v>
      </x:c>
      <x:c r="F11" s="50" t="str">
        <x:v>Hits at most 3 targets per pulse, with lower secondary damage; spreading out or destroying the node is effective.</x:v>
      </x:c>
      <x:c r="G11" s="50" t="str">
        <x:v>Stormcap Totem</x:v>
      </x:c>
    </x:row>
    <x:row r="12" ht="85" customHeight="1">
      <x:c r="A12" s="50" t="n">
        <x:v>43</x:v>
      </x:c>
      <x:c r="B12" s="50" t="str">
        <x:v>Crucibulk</x:v>
      </x:c>
      <x:c r="C12" s="50" t="str">
        <x:v>Summon / arena rework</x:v>
      </x:c>
      <x:c r="D12" s="50" t="str">
        <x:v>A living crucible can cast a ceramic protector. Preserve the Slag allocation decision: direct offense, immediate ward, or a destructible guardian all compete for the same resource.</x:v>
      </x:c>
      <x:c r="E12" s="50" t="str">
        <x:v>Guardian interception handles eligible direct strikes; the direct-damage build exploits brief boss vulnerability windows.</x:v>
      </x:c>
      <x:c r="F12" s="50" t="str">
        <x:v>Guardian shots keep working after legitimate target changes, but rapid area damage favors immediate damage or Pour a Protector.</x:v>
      </x:c>
      <x:c r="G12" s="50" t="str">
        <x:v>Kilnling</x:v>
      </x:c>
    </x:row>
    <x:row r="13" ht="72.5" customHeight="1">
      <x:c r="A13" s="50" t="n">
        <x:v>46</x:v>
      </x:c>
      <x:c r="B13" s="50" t="str">
        <x:v>Cindertroop</x:v>
      </x:c>
      <x:c r="C13" s="50" t="str">
        <x:v>Summon / arena rework</x:v>
      </x:c>
      <x:c r="D13" s="50" t="str">
        <x:v>The CSV explicitly describes a queen and an ant swarm. Replace visual Ant counters with genuine, individually targetable ants; keep the queen a STR fighter.</x:v>
      </x:c>
      <x:c r="E13" s="50" t="str">
        <x:v>Soldiers provide immediate boss damage without add kills; Shield Ant covers eligible direct attacks, not scripted raid-wide damage.</x:v>
      </x:c>
      <x:c r="F13" s="50" t="str">
        <x:v>Brood damage follows legitimate target deaths. Multiple independent bodies are vulnerable to cleave; the defensive branch limits trainer focus-fire.</x:v>
      </x:c>
      <x:c r="G13" s="50" t="str">
        <x:v>Soldier Ant, Shield Ant</x:v>
      </x:c>
    </x:row>
    <x:row r="14" ht="60" customHeight="1">
      <x:c r="A14" s="50" t="n">
        <x:v>51</x:v>
      </x:c>
      <x:c r="B14" s="50" t="str">
        <x:v>Lumimoth</x:v>
      </x:c>
      <x:c r="C14" s="50" t="str">
        <x:v>Summon / arena rework</x:v>
      </x:c>
      <x:c r="D14" s="50" t="str">
        <x:v>Its two lantern-shaped pockets can become deployed lights. Give it a spatial accuracy-support role instead of another generic party heal.</x:v>
      </x:c>
      <x:c r="E14" s="50" t="str">
        <x:v>Accuracy and core-ally basic damage work against one boss, particularly an evasive one.</x:v>
      </x:c>
      <x:c r="F14" s="50" t="str">
        <x:v>Two separate light positions support split targets and offset formation; enemy area attacks can remove them.</x:v>
      </x:c>
      <x:c r="G14" s="50" t="str">
        <x:v>Light Beacon</x:v>
      </x:c>
    </x:row>
    <x:row r="15" ht="72.5" customHeight="1">
      <x:c r="A15" s="50" t="n">
        <x:v>54</x:v>
      </x:c>
      <x:c r="B15" s="50" t="str">
        <x:v>Resinrook</x:v>
      </x:c>
      <x:c r="C15" s="50" t="str">
        <x:v>Summon / arena rework</x:v>
      </x:c>
      <x:c r="D15" s="50" t="str">
        <x:v>Its amber-tower silhouette is a strong match for one short projectile screen. Use a limited interception surface, not a pathfinding wall or forced movement ability.</x:v>
      </x:c>
      <x:c r="E15" s="50" t="str">
        <x:v>Strong against specifically blockable projectile patterns; choose the brawler build against melee or unavoidable area attacks.</x:v>
      </x:c>
      <x:c r="F15" s="50" t="str">
        <x:v>Limits fire from one direction; enemies firing around the segment or destroying it bypass the setup.</x:v>
      </x:c>
      <x:c r="G15" s="50" t="str">
        <x:v>Resin Screen</x:v>
      </x:c>
    </x:row>
    <x:row r="16" ht="72.5" customHeight="1">
      <x:c r="A16" s="50" t="n">
        <x:v>55</x:v>
      </x:c>
      <x:c r="B16" s="50" t="str">
        <x:v>Saffrune</x:v>
      </x:c>
      <x:c r="C16" s="50" t="str">
        <x:v>Summon / arena rework</x:v>
      </x:c>
      <x:c r="D16" s="50" t="str">
        <x:v>The floating rune flower can inscribe a pair of destructible standards. Keep active-cast support distinct from Glowcap's healing and Lumimoth's basic-attack support.</x:v>
      </x:c>
      <x:c r="E16" s="50" t="str">
        <x:v>A long-lived target sustains offensive rune triggers; the defensive build handles recurring damage without needing adds.</x:v>
      </x:c>
      <x:c r="F16" s="50" t="str">
        <x:v>The ward can cover several core allies, but no additional summon enlarges its target count or damage amplification budget.</x:v>
      </x:c>
      <x:c r="G16" s="50" t="str">
        <x:v>Assault Rune, Ward Rune</x:v>
      </x:c>
    </x:row>
    <x:row r="17" ht="60" customHeight="1">
      <x:c r="A17" s="50" t="n">
        <x:v>61</x:v>
      </x:c>
      <x:c r="B17" s="50" t="str">
        <x:v>Moonweaver</x:v>
      </x:c>
      <x:c r="C17" s="50" t="str">
        <x:v>Summon / arena rework</x:v>
      </x:c>
      <x:c r="D17" s="50" t="str">
        <x:v>A mythic silk weaver should shape a part of the arena. Its web must affect enemies already fighting, not wait for them to walk into a trap.</x:v>
      </x:c>
      <x:c r="E17" s="50" t="str">
        <x:v>A lone stationary boss receives up to 2.20 M from the web and supplies a stable Thread target; no kill or movement is required.</x:v>
      </x:c>
      <x:c r="F17" s="50" t="str">
        <x:v>Up to three enemies per pulse; an enemy entering later can be affected, but immediate occupancy already works.</x:v>
      </x:c>
      <x:c r="G17" s="50" t="str">
        <x:v>Silk Anchor / Crescent Web</x:v>
      </x:c>
    </x:row>
    <x:row r="18" ht="60" customHeight="1">
      <x:c r="A18" s="50" t="n">
        <x:v>78</x:v>
      </x:c>
      <x:c r="B18" s="50" t="str">
        <x:v>Cinderempress</x:v>
      </x:c>
      <x:c r="C18" s="50" t="str">
        <x:v>Summon / arena rework</x:v>
      </x:c>
      <x:c r="D18" s="50" t="str">
        <x:v>This is the crowned salamander, not the ant queen. Give her a territorial ember hearth rather than a second insect-swarm identity.</x:v>
      </x:c>
      <x:c r="E18" s="50" t="str">
        <x:v>Four pulses work on a stationary boss; the HP build survives near it rather than needing adds for power.</x:v>
      </x:c>
      <x:c r="F18" s="50" t="str">
        <x:v>Hits at most three local enemies per pulse. Spreading enemies and ranged fire from outside the court limit value.</x:v>
      </x:c>
      <x:c r="G18" s="50" t="str">
        <x:v>Imperial Hearth</x:v>
      </x:c>
    </x:row>
    <x:row r="19" ht="47.5" customHeight="1">
      <x:c r="A19" s="50" t="n">
        <x:v>79</x:v>
      </x:c>
      <x:c r="B19" s="50" t="str">
        <x:v>Ashskate</x:v>
      </x:c>
      <x:c r="C19" s="50" t="str">
        <x:v>Boss / group refinement</x:v>
      </x:c>
      <x:c r="D19" s="50" t="str">
        <x:v>Replace an uncapped per-death refund in large packs with one shared cadence that also works on bosses.</x:v>
      </x:c>
      <x:c r="E19" s="50" t="str">
        <x:v>Every three personal damaging-active hits can refund 1s of the fast slot.</x:v>
      </x:c>
      <x:c r="F19" s="50" t="str">
        <x:v>Eligible enemy deaths can refund 2s, but the shared 3s lockout prevents mass-death resets.</x:v>
      </x:c>
      <x:c r="G19" s="50" t="str">
        <x:v>No new entity</x:v>
      </x:c>
    </x:row>
    <x:row r="20" ht="72.5" customHeight="1">
      <x:c r="A20" s="50" t="n">
        <x:v>86</x:v>
      </x:c>
      <x:c r="B20" s="50" t="str">
        <x:v>Elderroot</x:v>
      </x:c>
      <x:c r="C20" s="50" t="str">
        <x:v>Summon / arena rework</x:v>
      </x:c>
      <x:c r="D20" s="50" t="str">
        <x:v>A walking hollow tree is a strong guardian-sapling summoner. Separate its role from heal-totems: these are finite protective bodies, not extra healers.</x:v>
      </x:c>
      <x:c r="E20" s="50" t="str">
        <x:v>Works without kills: direct-hit mitigation plus small melee support. Area-heavy bosses punish both saplings at once.</x:v>
      </x:c>
      <x:c r="F20" s="50" t="str">
        <x:v>Separate wards protect two core targets under split pressure, but do not multiply the trainer's diversion percentage.</x:v>
      </x:c>
      <x:c r="G20" s="50" t="str">
        <x:v>Sapling Warden</x:v>
      </x:c>
    </x:row>
    <x:row r="21" ht="72.5" customHeight="1">
      <x:c r="A21" s="50" t="n">
        <x:v>87</x:v>
      </x:c>
      <x:c r="B21" s="50" t="str">
        <x:v>Emberorchid</x:v>
      </x:c>
      <x:c r="C21" s="50" t="str">
        <x:v>Summon / arena rework</x:v>
      </x:c>
      <x:c r="D21" s="50" t="str">
        <x:v>An orchid with a glowing seed and beak-like petals naturally grows a small seed-spitter. Make it an artillery turret, not another general-purpose creature swarm.</x:v>
      </x:c>
      <x:c r="E21" s="50" t="str">
        <x:v>Up to 3.00 M turret damage over six shots plus one Pollen application; all subject to survival and target availability.</x:v>
      </x:c>
      <x:c r="F21" s="50" t="str">
        <x:v>Searing Petals gives bounded immediate splash; a turret only retargets on death and cannot follow a retreating frontline.</x:v>
      </x:c>
      <x:c r="G21" s="50" t="str">
        <x:v>Seedjaw Turret</x:v>
      </x:c>
    </x:row>
    <x:row r="22" ht="72.5" customHeight="1">
      <x:c r="A22" s="50" t="n">
        <x:v>88</x:v>
      </x:c>
      <x:c r="B22" s="50" t="str">
        <x:v>Glowcap</x:v>
      </x:c>
      <x:c r="C22" s="50" t="str">
        <x:v>Summon / arena rework</x:v>
      </x:c>
      <x:c r="D22" s="50" t="str">
        <x:v>Its hovering mushroom cap should become a temporary healing station. Preserve a direct rescue branch so a static object is not forced into every encounter.</x:v>
      </x:c>
      <x:c r="E22" s="50" t="str">
        <x:v>A fixed boss exchange allows full healing uptime; Dawn works even when the node dies.</x:v>
      </x:c>
      <x:c r="F22" s="50" t="str">
        <x:v>One shared heal prevents dozens of summons multiplying healing throughput. The direct-heal build adapts better after frequent target switches.</x:v>
      </x:c>
      <x:c r="G22" s="50" t="str">
        <x:v>Nightlight Cap</x:v>
      </x:c>
    </x:row>
    <x:row r="23" ht="60" customHeight="1">
      <x:c r="A23" s="50" t="n">
        <x:v>91</x:v>
      </x:c>
      <x:c r="B23" s="50" t="str">
        <x:v>Skycorolla</x:v>
      </x:c>
      <x:c r="C23" s="50" t="str">
        <x:v>Boss / group refinement</x:v>
      </x:c>
      <x:c r="D23" s="50" t="str">
        <x:v>Let its cyclone be a real capped area attack while preserving physical-focus resource generation and single-target power.</x:v>
      </x:c>
      <x:c r="E23" s="50" t="str">
        <x:v>The current boss gets the full base hit plus the one resource bonus.</x:v>
      </x:c>
      <x:c r="F23" s="50" t="str">
        <x:v>Up to two other nearby enemies receive weaker splash, never copies of Crosswind damage.</x:v>
      </x:c>
      <x:c r="G23" s="50" t="str">
        <x:v>No new entity</x:v>
      </x:c>
    </x:row>
    <x:row r="24" ht="72.5" customHeight="1">
      <x:c r="A24" s="50" t="n">
        <x:v>95</x:v>
      </x:c>
      <x:c r="B24" s="50" t="str">
        <x:v>Inksprite</x:v>
      </x:c>
      <x:c r="C24" s="50" t="str">
        <x:v>Summon / arena rework</x:v>
      </x:c>
      <x:c r="D24" s="50" t="str">
        <x:v>Its existing Dripping Double is a natural decoy opportunity. Turn it into one short-lived ink body rather than giving it an unrelated summoning family.</x:v>
      </x:c>
      <x:c r="E24" s="50" t="str">
        <x:v>Use the burst build against lure immunity; a susceptible basic-attack boss can spend one real attack on the Double.</x:v>
      </x:c>
      <x:c r="F24" s="50" t="str">
        <x:v>Nearby attackers can receive the on-destruction HIT penalty; only one enemy basic is redirected by the lure.</x:v>
      </x:c>
      <x:c r="G24" s="50" t="str">
        <x:v>Ink Double</x:v>
      </x:c>
    </x:row>
    <x:row r="25" ht="72.5" customHeight="1">
      <x:c r="A25" s="50" t="n">
        <x:v>99</x:v>
      </x:c>
      <x:c r="B25" s="50" t="str">
        <x:v>Maskin</x:v>
      </x:c>
      <x:c r="C25" s="50" t="str">
        <x:v>Summon / arena rework</x:v>
      </x:c>
      <x:c r="D25" s="50" t="str">
        <x:v>The CSV gives it three spirits carrying one mask. Let one stay with the mask while the other two can temporarily detach as attacker or protector; keep a shared summon cap.</x:v>
      </x:c>
      <x:c r="E25" s="50" t="str">
        <x:v>The offensive pair needs no adds; the support pair has explicit finite shield/heal budgets for the existing party.</x:v>
      </x:c>
      <x:c r="F25" s="50" t="str">
        <x:v>Area attacks can remove both spirits. Spirit kills are credited for outcome bookkeeping but grant no owner on-kill procs.</x:v>
      </x:c>
      <x:c r="G25" s="50" t="str">
        <x:v>Trickster Spirit, Guardian Spirit</x:v>
      </x:c>
    </x:row>
  </x:sheetData>
  <x:mergeCells>
    <x:mergeCell ref="A1:G2"/>
    <x:mergeCell ref="A3:G3"/>
  </x:mergeCells>
  <x:pageMargins left="0.7" right="0.7" top="0.75" bottom="0.75" header="0.3" footer="0.3"/>
  <x:tableParts count="1">
    <x:tablePart xmlns:r="http://schemas.openxmlformats.org/officeDocument/2006/relationships" r:id="Rec3fd31c646d4c57"/>
  </x:tableParts>
</x:worksheet>
</file>

<file path=xl/worksheets/sheet9.xml><?xml version="1.0" encoding="utf-8"?>
<x:worksheet xmlns:x="http://schemas.openxmlformats.org/spreadsheetml/2006/main">
  <x:sheetFormatPr defaultRowHeight="15"/>
  <x:cols>
    <x:col min="1" max="1" width="18" hidden="0" customWidth="1"/>
    <x:col min="2" max="2" width="25" hidden="0" customWidth="1"/>
    <x:col min="3" max="3" width="24" hidden="0" customWidth="1"/>
    <x:col min="4" max="4" width="12" hidden="0" customWidth="1"/>
    <x:col min="5" max="5" width="30" hidden="0" customWidth="1"/>
    <x:col min="6" max="6" width="16" hidden="0" customWidth="1"/>
    <x:col min="7" max="7" width="40" hidden="0" customWidth="1"/>
    <x:col min="8" max="8" width="40" hidden="0" customWidth="1"/>
    <x:col min="9" max="9" width="40" hidden="0" customWidth="1"/>
    <x:col min="10" max="10" width="40" hidden="0" customWidth="1"/>
  </x:cols>
  <x:sheetData>
    <x:row r="1">
      <x:c r="A1" s="63" t="str">
        <x:v>HUNTARIA  |  ENTITY PROFILES  ·  v2</x:v>
      </x:c>
      <x:c r="B1" s="63"/>
      <x:c r="C1" s="63"/>
      <x:c r="D1" s="63"/>
      <x:c r="E1" s="63"/>
      <x:c r="F1" s="63"/>
      <x:c r="G1" s="63"/>
      <x:c r="H1" s="63"/>
      <x:c r="I1" s="63"/>
      <x:c r="J1" s="63"/>
    </x:row>
    <x:row r="2">
      <x:c r="A2" s="63"/>
      <x:c r="B2" s="63"/>
      <x:c r="C2" s="63"/>
      <x:c r="D2" s="63"/>
      <x:c r="E2" s="63"/>
      <x:c r="F2" s="63"/>
      <x:c r="G2" s="63"/>
      <x:c r="H2" s="63"/>
      <x:c r="I2" s="63"/>
      <x:c r="J2" s="63"/>
    </x:row>
    <x:row r="3" ht="30" customHeight="1">
      <x:c r="A3" s="53" t="str">
        <x:v>17 entity profiles across 14 species; explicit HP, duration, caps, action budgets and safeguards.</x:v>
      </x:c>
      <x:c r="B3" s="53"/>
      <x:c r="C3" s="53"/>
      <x:c r="D3" s="53"/>
      <x:c r="E3" s="53"/>
      <x:c r="F3" s="53"/>
      <x:c r="G3" s="53"/>
      <x:c r="H3" s="53"/>
      <x:c r="I3" s="53"/>
      <x:c r="J3" s="53"/>
    </x:row>
    <x:row r="5" ht="32" customHeight="1">
      <x:c r="A5" s="56" t="str">
        <x:v>Owner</x:v>
      </x:c>
      <x:c r="B5" s="56" t="str">
        <x:v>Entity</x:v>
      </x:c>
      <x:c r="C5" s="56" t="str">
        <x:v>Type</x:v>
      </x:c>
      <x:c r="D5" s="56" t="str">
        <x:v>Owner cap</x:v>
      </x:c>
      <x:c r="E5" s="56" t="str">
        <x:v>HP</x:v>
      </x:c>
      <x:c r="F5" s="56" t="str">
        <x:v>Lifetime</x:v>
      </x:c>
      <x:c r="G5" s="56" t="str">
        <x:v>Actions / scaling</x:v>
      </x:c>
      <x:c r="H5" s="56" t="str">
        <x:v>Placement / targeting</x:v>
      </x:c>
      <x:c r="I5" s="56" t="str">
        <x:v>Trigger / death policy</x:v>
      </x:c>
      <x:c r="J5" s="56" t="str">
        <x:v>Limits</x:v>
      </x:c>
    </x:row>
    <x:row r="6" ht="72.5" customHeight="1">
      <x:c r="A6" s="50" t="str">
        <x:v>Cindertroop</x:v>
      </x:c>
      <x:c r="B6" s="50" t="str">
        <x:v>Soldier Ant</x:v>
      </x:c>
      <x:c r="C6" s="50" t="str">
        <x:v>Creature</x:v>
      </x:c>
      <x:c r="D6" s="50" t="n">
        <x:v>3</x:v>
      </x:c>
      <x:c r="E6" s="50" t="str">
        <x:v>4% H each</x:v>
      </x:c>
      <x:c r="F6" s="50" t="str">
        <x:v>6s</x:v>
      </x:c>
      <x:c r="G6" s="50" t="str">
        <x:v>0.12 A physical per 1s; first hit at 0.5s. Colony Command and Queen's Sting explicitly apply. Royal Mandate allows one extra 0.25 A strike per living eligible ant.</x:v>
      </x:c>
      <x:c r="H6" s="50" t="str">
        <x:v>Spawn in legal adjacent attack positions; take queen's target if reachable. Retarget on target death.</x:v>
      </x:c>
      <x:c r="I6" s="50" t="str">
        <x:v>SUMMON; no inherited procs, loot, XP, or kill/death rewards.</x:v>
      </x:c>
      <x:c r="J6" s="50" t="str">
        <x:v>50% of owner DEF/MDEF and owner HIT at creation; no inherited CRIT, ASPD, skills or buffs. No body-block collision.</x:v>
      </x:c>
    </x:row>
    <x:row r="7" ht="60" customHeight="1">
      <x:c r="A7" s="50" t="str">
        <x:v>Cindertroop</x:v>
      </x:c>
      <x:c r="B7" s="50" t="str">
        <x:v>Shield Ant</x:v>
      </x:c>
      <x:c r="C7" s="50" t="str">
        <x:v>Guardian creature</x:v>
      </x:c>
      <x:c r="D7" s="50" t="n">
        <x:v>1</x:v>
      </x:c>
      <x:c r="E7" s="50" t="str">
        <x:v>12% H</x:v>
      </x:c>
      <x:c r="F7" s="50" t="str">
        <x:v>4s</x:v>
      </x:c>
      <x:c r="G7" s="50" t="str">
        <x:v>No attacks. Intercepts 20% of trainer direct HP damage; aggregate diversion is capped by current ant HP and the global single-interceptor rule.</x:v>
      </x:c>
      <x:c r="H7" s="50" t="str">
        <x:v>Beside trainer; no taunt and no automatic interception of area attacks.</x:v>
      </x:c>
      <x:c r="I7" s="50" t="str">
        <x:v>SUMMON; redirected loss cannot create resources or death procs.</x:v>
      </x:c>
      <x:c r="J7" s="50" t="str">
        <x:v>Uses direct HP-loss interception, not a second mitigation pass. No stacking with another interceptor.</x:v>
      </x:c>
    </x:row>
    <x:row r="8" ht="72.5" customHeight="1">
      <x:c r="A8" s="50" t="str">
        <x:v>Pinstitch</x:v>
      </x:c>
      <x:c r="B8" s="50" t="str">
        <x:v>Stitched Effigy</x:v>
      </x:c>
      <x:c r="C8" s="50" t="str">
        <x:v>Linked structure</x:v>
      </x:c>
      <x:c r="D8" s="50" t="n">
        <x:v>1</x:v>
      </x:c>
      <x:c r="E8" s="50" t="str">
        <x:v>6% H</x:v>
      </x:c>
      <x:c r="F8" s="50" t="str">
        <x:v>6s or linked target death</x:v>
      </x:c>
      <x:c r="G8" s="50" t="str">
        <x:v>Up to 6 echoes of 0.30 A, at most one every 0.75s, triggered by core-ally direct hits against its linked enemy. Applies 15% healing-received reduction while linked.</x:v>
      </x:c>
      <x:c r="H8" s="50" t="str">
        <x:v>Friendly ground near caster; never becomes a friendly attack target. Link locked to the original enemy.</x:v>
      </x:c>
      <x:c r="I8" s="50" t="str">
        <x:v>STRUCTURE; echoes cannot crit or trigger themselves, Thread, or other owner procs.</x:v>
      </x:c>
      <x:c r="J8" s="50" t="str">
        <x:v>Destructible, no collision or taunt. No transferred incoming damage; no enemy-HP scaling; no link hopping.</x:v>
      </x:c>
    </x:row>
    <x:row r="9" ht="47.5" customHeight="1">
      <x:c r="A9" s="50" t="str">
        <x:v>Tempestool</x:v>
      </x:c>
      <x:c r="B9" s="50" t="str">
        <x:v>Stormcap Totem</x:v>
      </x:c>
      <x:c r="C9" s="50" t="str">
        <x:v>Damage totem</x:v>
      </x:c>
      <x:c r="D9" s="50" t="n">
        <x:v>1</x:v>
      </x:c>
      <x:c r="E9" s="50" t="str">
        <x:v>8% H</x:v>
      </x:c>
      <x:c r="F9" s="50" t="str">
        <x:v>5s</x:v>
      </x:c>
      <x:c r="G9" s="50" t="str">
        <x:v>Pulses at 0/2/4s: 0.75 M primary + 0.25 M to up to 2 others; first pulse can apply Pressure Spores.</x:v>
      </x:c>
      <x:c r="H9" s="50" t="str">
        <x:v>Fixed zone of radius 2R within normal cast reach. Re-evaluate affected enemies each pulse.</x:v>
      </x:c>
      <x:c r="I9" s="50" t="str">
        <x:v>STRUCTURE; pulses do not generate active-cast events or repeatedly apply Pressure Spores.</x:v>
      </x:c>
      <x:c r="J9" s="50" t="str">
        <x:v>Cannot block paths; destroy node to cancel remaining pulses. No repeat hits from unused AoE slots.</x:v>
      </x:c>
    </x:row>
    <x:row r="10" ht="60" customHeight="1">
      <x:c r="A10" s="50" t="str">
        <x:v>Crucibulk</x:v>
      </x:c>
      <x:c r="B10" s="50" t="str">
        <x:v>Kilnling</x:v>
      </x:c>
      <x:c r="C10" s="50" t="str">
        <x:v>Guardian creature</x:v>
      </x:c>
      <x:c r="D10" s="50" t="n">
        <x:v>1</x:v>
      </x:c>
      <x:c r="E10" s="50" t="str">
        <x:v>8% H + 0.60 M + spent Slag; maximum 18% H</x:v>
      </x:c>
      <x:c r="F10" s="50" t="str">
        <x:v>5s</x:v>
      </x:c>
      <x:c r="G10" s="50" t="str">
        <x:v>20% trainer direct-HP interception; magic shots 0.20 M every 1.5s, first at 0.5s.</x:v>
      </x:c>
      <x:c r="H10" s="50" t="str">
        <x:v>Beside trainer; shots reach 3R and use current owner target if legal, otherwise nearest legal enemy on acquisition.</x:v>
      </x:c>
      <x:c r="I10" s="50" t="str">
        <x:v>SUMMON; no Slag gain from its damage, shields, attacks, or diverted HP loss.</x:v>
      </x:c>
      <x:c r="J10" s="50" t="str">
        <x:v>Summoning spends the same capped Slag reserve as owner attacks/wards. HP cap includes Slag. No area-damage interception.</x:v>
      </x:c>
    </x:row>
    <x:row r="11" ht="60" customHeight="1">
      <x:c r="A11" s="50" t="str">
        <x:v>Lumimoth</x:v>
      </x:c>
      <x:c r="B11" s="50" t="str">
        <x:v>Light Beacon</x:v>
      </x:c>
      <x:c r="C11" s="50" t="str">
        <x:v>Support beacon</x:v>
      </x:c>
      <x:c r="D11" s="50" t="n">
        <x:v>2</x:v>
      </x:c>
      <x:c r="E11" s="50" t="str">
        <x:v>5% H each</x:v>
      </x:c>
      <x:c r="F11" s="50" t="str">
        <x:v>5s</x:v>
      </x:c>
      <x:c r="G11" s="50" t="str">
        <x:v>1.5R aura: qualifies core allies for +10 passive HIT and +10% basic damage. Initial 0.55 M shield to designated core ally.</x:v>
      </x:c>
      <x:c r="H11" s="50" t="str">
        <x:v>One near trainer, one near other core monster. Anchored; no aura stacking in overlap.</x:v>
      </x:c>
      <x:c r="I11" s="50" t="str">
        <x:v>STRUCTURE; cannot buff summoned creatures or other structures.</x:v>
      </x:c>
      <x:c r="J11" s="50" t="str">
        <x:v>No collision. Fixed auras do not follow units. No second beacon when no second designated ally exists.</x:v>
      </x:c>
    </x:row>
    <x:row r="12" ht="85" customHeight="1">
      <x:c r="A12" s="50" t="str">
        <x:v>Resinrook</x:v>
      </x:c>
      <x:c r="B12" s="50" t="str">
        <x:v>Resin Screen</x:v>
      </x:c>
      <x:c r="C12" s="50" t="str">
        <x:v>Projectile screen</x:v>
      </x:c>
      <x:c r="D12" s="50" t="n">
        <x:v>1</x:v>
      </x:c>
      <x:c r="E12" s="50" t="str">
        <x:v>20% H</x:v>
      </x:c>
      <x:c r="F12" s="50" t="str">
        <x:v>5s</x:v>
      </x:c>
      <x:c r="G12" s="50" t="str">
        <x:v>Intercepts eligible hostile single-target projectiles crossing a 2R segment; zero defense budget with residual projectile overflow. Applies Clinging Resin to basic projectile sources.</x:v>
      </x:c>
      <x:c r="H12" s="50" t="str">
        <x:v>Automatically placed between trainer and threatening ranged source; never across units or sealed paths.</x:v>
      </x:c>
      <x:c r="I12" s="50" t="str">
        <x:v>STRUCTURE; no taunt, on-death burst or damage redirection proc.</x:v>
      </x:c>
      <x:c r="J12" s="50" t="str">
        <x:v>No movement/vision collision. Piercing, melee and ground/area effects bypass. One allied screen test per projectile; remaining power can continue on break.</x:v>
      </x:c>
    </x:row>
    <x:row r="13" ht="47.5" customHeight="1">
      <x:c r="A13" s="50" t="str">
        <x:v>Saffrune</x:v>
      </x:c>
      <x:c r="B13" s="50" t="str">
        <x:v>Assault Rune</x:v>
      </x:c>
      <x:c r="C13" s="50" t="str">
        <x:v>Support totem</x:v>
      </x:c>
      <x:c r="D13" s="50" t="n">
        <x:v>1</x:v>
      </x:c>
      <x:c r="E13" s="50" t="str">
        <x:v>7% H</x:v>
      </x:c>
      <x:c r="F13" s="50" t="str">
        <x:v>5s</x:v>
      </x:c>
      <x:c r="G13" s="50" t="str">
        <x:v>2R core-ally aura: +20 HIT; primary active-damage rider 0.25 M, pooled 1s cooldown, maximum 4 lifetime triggers.</x:v>
      </x:c>
      <x:c r="H13" s="50" t="str">
        <x:v>Anchor around attacking trainer, otherwise other core monster.</x:v>
      </x:c>
      <x:c r="I13" s="50" t="str">
        <x:v>STRUCTURE; excludes summon attacks, proc damage, echoes and secondary active hits.</x:v>
      </x:c>
      <x:c r="J13" s="50" t="str">
        <x:v>Does not advance Inscription; cannot copy an active or multiply across targets.</x:v>
      </x:c>
    </x:row>
    <x:row r="14" ht="47.5" customHeight="1">
      <x:c r="A14" s="50" t="str">
        <x:v>Saffrune</x:v>
      </x:c>
      <x:c r="B14" s="50" t="str">
        <x:v>Ward Rune</x:v>
      </x:c>
      <x:c r="C14" s="50" t="str">
        <x:v>Support totem</x:v>
      </x:c>
      <x:c r="D14" s="50" t="n">
        <x:v>1</x:v>
      </x:c>
      <x:c r="E14" s="50" t="str">
        <x:v>10% H</x:v>
      </x:c>
      <x:c r="F14" s="50" t="str">
        <x:v>5s</x:v>
      </x:c>
      <x:c r="G14" s="50" t="str">
        <x:v>At 0/2/4s shield core allies in 2R for 0.40 M, duration 2s, same-name refresh only.</x:v>
      </x:c>
      <x:c r="H14" s="50" t="str">
        <x:v>Anchor at threatened core ally, trainer on tie.</x:v>
      </x:c>
      <x:c r="I14" s="50" t="str">
        <x:v>STRUCTURE; ward pulses do not count as owner casts or trigger owner on-shield passives.</x:v>
      </x:c>
      <x:c r="J14" s="50" t="str">
        <x:v>Small shields are not additive; fixed radius, destructible node.</x:v>
      </x:c>
    </x:row>
    <x:row r="15" ht="60" customHeight="1">
      <x:c r="A15" s="50" t="str">
        <x:v>Moonweaver</x:v>
      </x:c>
      <x:c r="B15" s="50" t="str">
        <x:v>Silk Anchor / Crescent Web</x:v>
      </x:c>
      <x:c r="C15" s="50" t="str">
        <x:v>Zone anchor</x:v>
      </x:c>
      <x:c r="D15" s="50" t="n">
        <x:v>1</x:v>
      </x:c>
      <x:c r="E15" s="50" t="str">
        <x:v>8% H</x:v>
      </x:c>
      <x:c r="F15" s="50" t="str">
        <x:v>5s</x:v>
      </x:c>
      <x:c r="G15" s="50" t="str">
        <x:v>2R web: 1.20 M initial, then 0.25 M at 1/2/3/4s, up to 3 enemies per pulse; Thread refresh, +12% enemy basic interval inside.</x:v>
      </x:c>
      <x:c r="H15" s="50" t="str">
        <x:v>Cast-reachable fixed point covering current target, no forced path changes.</x:v>
      </x:c>
      <x:c r="I15" s="50" t="str">
        <x:v>STRUCTURE + ZONE; pulses do not generate extra owner cast events.</x:v>
      </x:c>
      <x:c r="J15" s="50" t="str">
        <x:v>Destroying anchor removes zone/interval penalty. Existing Thread expires normally. No slow-to-move or trap entry requirement.</x:v>
      </x:c>
    </x:row>
    <x:row r="16" ht="47.5" customHeight="1">
      <x:c r="A16" s="50" t="str">
        <x:v>Cinderempress</x:v>
      </x:c>
      <x:c r="B16" s="50" t="str">
        <x:v>Imperial Hearth</x:v>
      </x:c>
      <x:c r="C16" s="50" t="str">
        <x:v>Untargetable zone</x:v>
      </x:c>
      <x:c r="D16" s="50" t="n">
        <x:v>1</x:v>
      </x:c>
      <x:c r="E16" s="50" t="str">
        <x:v>No HP; not an attackable entity</x:v>
      </x:c>
      <x:c r="F16" s="50" t="str">
        <x:v>4s</x:v>
      </x:c>
      <x:c r="G16" s="50" t="str">
        <x:v>2R radius; 0.60 M to up to 3 enemies at 0/1/2/3s. Owner-only 10% direct damage reduction while inside.</x:v>
      </x:c>
      <x:c r="H16" s="50" t="str">
        <x:v>Anchored to owner position at cast, does not follow movement.</x:v>
      </x:c>
      <x:c r="I16" s="50" t="str">
        <x:v>ZONE; pulses do not grant Crown Heat or on-hit resources.</x:v>
      </x:c>
      <x:c r="J16" s="50" t="str">
        <x:v>Fixed short lifetime; owner death removes it. No collision, summon body, or party-wide protection.</x:v>
      </x:c>
    </x:row>
    <x:row r="17" ht="60" customHeight="1">
      <x:c r="A17" s="50" t="str">
        <x:v>Elderroot</x:v>
      </x:c>
      <x:c r="B17" s="50" t="str">
        <x:v>Sapling Warden</x:v>
      </x:c>
      <x:c r="C17" s="50" t="str">
        <x:v>Stationary guardian creature</x:v>
      </x:c>
      <x:c r="D17" s="50" t="n">
        <x:v>2</x:v>
      </x:c>
      <x:c r="E17" s="50" t="str">
        <x:v>10% H each</x:v>
      </x:c>
      <x:c r="F17" s="50" t="str">
        <x:v>5s</x:v>
      </x:c>
      <x:c r="G17" s="50" t="str">
        <x:v>One assigned to trainer, one to Elderroot: 15% direct HP interception each. 0.18 A melee each 1.5s, first at 0.5s, only while an enemy is in reach.</x:v>
      </x:c>
      <x:c r="H17" s="50" t="str">
        <x:v>Adjacent legal spaces beside Elderroot; stationary, assigned guard need not stand within melee radius for the abstract interception effect.</x:v>
      </x:c>
      <x:c r="I17" s="50" t="str">
        <x:v>SUMMON; no Old Growth, taunt, death reward, or proc inheritance.</x:v>
      </x:c>
      <x:c r="J17" s="50" t="str">
        <x:v>No interception of area damage; no stacking both onto one core ally. 50% owner defenses for ordinary attacks, not diverted HP loss.</x:v>
      </x:c>
    </x:row>
    <x:row r="18" ht="60" customHeight="1">
      <x:c r="A18" s="50" t="str">
        <x:v>Emberorchid</x:v>
      </x:c>
      <x:c r="B18" s="50" t="str">
        <x:v>Seedjaw Turret</x:v>
      </x:c>
      <x:c r="C18" s="50" t="str">
        <x:v>Attack turret</x:v>
      </x:c>
      <x:c r="D18" s="50" t="n">
        <x:v>1</x:v>
      </x:c>
      <x:c r="E18" s="50" t="str">
        <x:v>7% H</x:v>
      </x:c>
      <x:c r="F18" s="50" t="str">
        <x:v>6s</x:v>
      </x:c>
      <x:c r="G18" s="50" t="str">
        <x:v>0.50 M magic every 1s starting at 0.5s, maximum 6 shots. First landed shot only applies one Pollen.</x:v>
      </x:c>
      <x:c r="H18" s="50" t="str">
        <x:v>Beside owner; owner normal basic reach; locked target until death. Stationary, no teleporting on switches.</x:v>
      </x:c>
      <x:c r="I18" s="50" t="str">
        <x:v>STRUCTURE; no owner crit, ASPD, general on-hit, or repeated Pollen.</x:v>
      </x:c>
      <x:c r="J18" s="50" t="str">
        <x:v>Destructible, no collision. No duplicate natural monster stats or full skill kit.</x:v>
      </x:c>
    </x:row>
    <x:row r="19" ht="72.5" customHeight="1">
      <x:c r="A19" s="50" t="str">
        <x:v>Glowcap</x:v>
      </x:c>
      <x:c r="B19" s="50" t="str">
        <x:v>Nightlight Cap</x:v>
      </x:c>
      <x:c r="C19" s="50" t="str">
        <x:v>Healing totem</x:v>
      </x:c>
      <x:c r="D19" s="50" t="n">
        <x:v>1</x:v>
      </x:c>
      <x:c r="E19" s="50" t="str">
        <x:v>8% H</x:v>
      </x:c>
      <x:c r="F19" s="50" t="str">
        <x:v>5s</x:v>
      </x:c>
      <x:c r="G19" s="50" t="str">
        <x:v>At 0/2/4s, one 0.40 M heal to an injured core ally within 2R. Creation gives 0.25 M Nightlight shields to initially covered core allies; Dawn can request one extra 0.60 M heal.</x:v>
      </x:c>
      <x:c r="H19" s="50" t="str">
        <x:v>Anchored on the most injured core ally's current position. Trainer below 55% has healing priority.</x:v>
      </x:c>
      <x:c r="I19" s="50" t="str">
        <x:v>STRUCTURE; no heals to temporary units, no repeated Nightlight shield proc per pulse.</x:v>
      </x:c>
      <x:c r="J19" s="50" t="str">
        <x:v>One shared target per pulse, no area-per-summon scaling. Destroying Cap removes future pulses.</x:v>
      </x:c>
    </x:row>
    <x:row r="20" ht="72.5" customHeight="1">
      <x:c r="A20" s="50" t="str">
        <x:v>Inksprite</x:v>
      </x:c>
      <x:c r="B20" s="50" t="str">
        <x:v>Ink Double</x:v>
      </x:c>
      <x:c r="C20" s="50" t="str">
        <x:v>Decoy creature</x:v>
      </x:c>
      <x:c r="D20" s="50" t="n">
        <x:v>1</x:v>
      </x:c>
      <x:c r="E20" s="50" t="str">
        <x:v>8% H</x:v>
      </x:c>
      <x:c r="F20" s="50" t="str">
        <x:v>3s; lure window 1.5s</x:v>
      </x:c>
      <x:c r="G20" s="50" t="str">
        <x:v>No attacks. Diverts at most one eligible basic attack from its linked enemy if reachable; enemy-damage destruction applies -20 HIT for 2s to up to 3 enemies within 1.5R.</x:v>
      </x:c>
      <x:c r="H20" s="50" t="str">
        <x:v>Adjacent position already reachable to the linked enemy; no movement or permanent retarget.</x:v>
      </x:c>
      <x:c r="I20" s="50" t="str">
        <x:v>SUMMON; expiry is not death, no inherited attacks/procs, and lure does not create normal-target events.</x:v>
      </x:c>
      <x:c r="J20" s="50" t="str">
        <x:v>Boss lure immunity is explicit. No active/area interception, no full clone stats, no default trainer protection.</x:v>
      </x:c>
    </x:row>
    <x:row r="21" ht="47.5" customHeight="1">
      <x:c r="A21" s="50" t="str">
        <x:v>Maskin</x:v>
      </x:c>
      <x:c r="B21" s="50" t="str">
        <x:v>Trickster Spirit</x:v>
      </x:c>
      <x:c r="C21" s="50" t="str">
        <x:v>Creature</x:v>
      </x:c>
      <x:c r="D21" s="50" t="n">
        <x:v>2</x:v>
      </x:c>
      <x:c r="E21" s="50" t="str">
        <x:v>5% H each</x:v>
      </x:c>
      <x:c r="F21" s="50" t="str">
        <x:v>5s</x:v>
      </x:c>
      <x:c r="G21" s="50" t="str">
        <x:v>0.18 M magic per 1s, first at 0.5s, maximum 5 bolts each.</x:v>
      </x:c>
      <x:c r="H21" s="50" t="str">
        <x:v>Friendly adjacent spawn, normal ranged target acquisition and locks.</x:v>
      </x:c>
      <x:c r="I21" s="50" t="str">
        <x:v>SUMMON; shares cap of 2 with Guardian Spirits; no Three Little Voices triggers.</x:v>
      </x:c>
      <x:c r="J21" s="50" t="str">
        <x:v>No inherited ASPD, crit or skills. Does not copy a complete core monster.</x:v>
      </x:c>
    </x:row>
    <x:row r="22" ht="60" customHeight="1">
      <x:c r="A22" s="50" t="str">
        <x:v>Maskin</x:v>
      </x:c>
      <x:c r="B22" s="50" t="str">
        <x:v>Guardian Spirit</x:v>
      </x:c>
      <x:c r="C22" s="50" t="str">
        <x:v>Support creature</x:v>
      </x:c>
      <x:c r="D22" s="50" t="n">
        <x:v>2</x:v>
      </x:c>
      <x:c r="E22" s="50" t="str">
        <x:v>5% H each</x:v>
      </x:c>
      <x:c r="F22" s="50" t="str">
        <x:v>5s</x:v>
      </x:c>
      <x:c r="G22" s="50" t="str">
        <x:v>One assigned to trainer, one to other core monster: 0.40 M arrival shield; 0.20 M heal at 2/4s to assigned living ally.</x:v>
      </x:c>
      <x:c r="H22" s="50" t="str">
        <x:v>Beside assigned core ally; stays where spawned, support reaches only its designated ally.</x:v>
      </x:c>
      <x:c r="I22" s="50" t="str">
        <x:v>SUMMON; shares cap of 2 with Tricksters; no passive cast/on-heal triggers.</x:v>
      </x:c>
      <x:c r="J22" s="50" t="str">
        <x:v>Do not spawn second spirit if other core monster is dead. No reassignment, resurrection or per-summon party-heal multiplication.</x:v>
      </x:c>
    </x:row>
  </x:sheetData>
  <x:mergeCells>
    <x:mergeCell ref="A1:J2"/>
    <x:mergeCell ref="A3:J3"/>
  </x:mergeCells>
  <x:pageMargins left="0.7" right="0.7" top="0.75" bottom="0.75" header="0.3" footer="0.3"/>
  <x:tableParts count="1">
    <x:tablePart xmlns:r="http://schemas.openxmlformats.org/officeDocument/2006/relationships" r:id="R1767a39b861a4265"/>
  </x:tableParts>
</x:worksheet>
</file>