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9b6f7192cc4684" /></Relationships>
</file>

<file path=xl/workbook.xml><?xml version="1.0" encoding="utf-8"?>
<x:workbook xmlns:x="http://schemas.openxmlformats.org/spreadsheetml/2006/main">
  <x:sheets>
    <x:sheet xmlns:r="http://schemas.openxmlformats.org/officeDocument/2006/relationships" name="Read Me" sheetId="1" r:id="R333dc93ae8d54939"/>
    <x:sheet xmlns:r="http://schemas.openxmlformats.org/officeDocument/2006/relationships" name="Mage" sheetId="2" r:id="Rfc1071065a844ccc"/>
    <x:sheet xmlns:r="http://schemas.openxmlformats.org/officeDocument/2006/relationships" name="Druid" sheetId="3" r:id="Reef65bf2eaa443a6"/>
    <x:sheet xmlns:r="http://schemas.openxmlformats.org/officeDocument/2006/relationships" name="Knight" sheetId="4" r:id="R16a8b627715e4888"/>
    <x:sheet xmlns:r="http://schemas.openxmlformats.org/officeDocument/2006/relationships" name="Hunter" sheetId="5" r:id="Rab989143a174485b"/>
    <x:sheet xmlns:r="http://schemas.openxmlformats.org/officeDocument/2006/relationships" name="Talent Data" sheetId="6" r:id="R6c146d2125544e2b"/>
    <x:sheet xmlns:r="http://schemas.openxmlformats.org/officeDocument/2006/relationships" name="Allocations" sheetId="7" r:id="R4e4f9fee73284c1e"/>
    <x:sheet xmlns:r="http://schemas.openxmlformats.org/officeDocument/2006/relationships" name="Builds" sheetId="8" r:id="R45218346764f4c23"/>
    <x:sheet xmlns:r="http://schemas.openxmlformats.org/officeDocument/2006/relationships" name="Rules" sheetId="9" r:id="Ra8a1e814e52444da"/>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20"/>
      <x:color rgb="FFFFFFFF"/>
      <x:name val="Carlito"/>
    </x:font>
    <x:font>
      <x:sz val="11"/>
      <x:color rgb="FF607083"/>
      <x:name val="Carlito"/>
    </x:font>
    <x:font>
      <x:b/>
      <x:sz val="11"/>
      <x:color rgb="FF20344A"/>
      <x:name val="Carlito"/>
    </x:font>
    <x:font>
      <x:b/>
      <x:sz val="18"/>
      <x:color rgb="FF185ADB"/>
      <x:name val="Carlito"/>
    </x:font>
    <x:font>
      <x:b/>
      <x:sz val="16"/>
      <x:color rgb="FF176B73"/>
      <x:name val="Carlito"/>
    </x:font>
    <x:font>
      <x:sz val="11"/>
      <x:color rgb="FF20344A"/>
      <x:name val="Carlito"/>
    </x:font>
    <x:font>
      <x:b/>
      <x:sz val="11"/>
      <x:color rgb="FFFFFFFF"/>
      <x:name val="Carlito"/>
    </x:font>
    <x:font>
      <x:b/>
      <x:sz val="13"/>
      <x:color rgb="FFFFFFFF"/>
      <x:name val="Carlito"/>
    </x:font>
    <x:font>
      <x:sz val="10"/>
      <x:color rgb="FF607083"/>
      <x:name val="Carlito"/>
    </x:font>
    <x:font>
      <x:b/>
      <x:sz val="10"/>
      <x:color rgb="FFFFFFFF"/>
      <x:name val="Carlito"/>
    </x:font>
    <x:font>
      <x:sz val="10"/>
      <x:color rgb="FF20344A"/>
      <x:name val="Carlito"/>
    </x:font>
    <x:font>
      <x:b/>
      <x:sz val="10"/>
      <x:color rgb="FF20344A"/>
      <x:name val="Carlito"/>
    </x:font>
    <x:font>
      <x:sz val="10"/>
      <x:color rgb="FF185ADB"/>
      <x:name val="Carlito"/>
    </x:font>
  </x:fonts>
  <x:fills count="8">
    <x:fill>
      <x:patternFill patternType="none"/>
    </x:fill>
    <x:fill>
      <x:patternFill patternType="gray125"/>
    </x:fill>
    <x:fill>
      <x:patternFill patternType="solid">
        <x:fgColor rgb="FF142B45"/>
      </x:patternFill>
    </x:fill>
    <x:fill>
      <x:patternFill patternType="solid">
        <x:fgColor rgb="FFEDF4F6"/>
      </x:patternFill>
    </x:fill>
    <x:fill>
      <x:patternFill patternType="solid">
        <x:fgColor rgb="FF176B73"/>
      </x:patternFill>
    </x:fill>
    <x:fill>
      <x:patternFill patternType="solid">
        <x:fgColor rgb="FFFFFFFF"/>
      </x:patternFill>
    </x:fill>
    <x:fill>
      <x:patternFill patternType="solid">
        <x:fgColor rgb="FFFFF1D6"/>
      </x:patternFill>
    </x:fill>
    <x:fill>
      <x:patternFill patternType="solid">
        <x:fgColor rgb="FFF0F5FF"/>
      </x:patternFill>
    </x:fill>
  </x:fills>
  <x:borders count="2">
    <x:border/>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7" fillId="4" borderId="0" xfId="0" applyNumberFormat="1" applyFont="1" applyFill="1" applyBorder="1" applyAlignment="1">
      <x:alignment vertical="center" wrapText="1"/>
    </x:xf>
    <x:xf numFmtId="0" fontId="6" fillId="4" borderId="1" xfId="0" applyNumberFormat="1" applyFont="1" applyFill="1" applyBorder="1" applyAlignment="1">
      <x:alignment vertical="center" wrapText="1"/>
    </x:xf>
    <x:xf numFmtId="0" fontId="7" fillId="4" borderId="1" xfId="0" applyNumberFormat="1" applyFont="1" applyFill="1" applyBorder="1" applyAlignment="1">
      <x:alignment vertical="center" wrapText="1"/>
    </x:xf>
    <x:xf numFmtId="0" fontId="6" fillId="3" borderId="0" xfId="0" applyNumberFormat="1" applyFont="1" applyFill="1" applyBorder="1"/>
    <x:xf numFmtId="0" fontId="6" fillId="3" borderId="1"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0" fillId="5" borderId="1" xfId="0" applyNumberFormat="1" applyFont="1" applyFill="1" applyBorder="1"/>
    <x:xf numFmtId="0" fontId="6" fillId="5" borderId="1" xfId="0" applyNumberFormat="1" applyFont="1" applyFill="1" applyBorder="1"/>
    <x:xf numFmtId="0" fontId="6" fillId="6" borderId="0"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8" fillId="2" borderId="0" xfId="0" applyNumberFormat="1" applyFont="1" applyFill="1" applyBorder="1"/>
    <x:xf numFmtId="0" fontId="8" fillId="2" borderId="1"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1" xfId="0" applyNumberFormat="1" applyFont="1" applyFill="1" applyBorder="1"/>
    <x:xf numFmtId="0" fontId="9" fillId="0" borderId="1" xfId="0" applyNumberFormat="1" applyFont="1" applyFill="1" applyBorder="1" applyAlignment="1">
      <x:alignment wrapText="1"/>
    </x:xf>
    <x:xf numFmtId="0" fontId="0" fillId="4" borderId="0"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applyAlignment="1">
      <x:alignment vertical="center" wrapText="1"/>
    </x:xf>
    <x:xf numFmtId="0" fontId="0" fillId="4" borderId="1" xfId="0" applyNumberFormat="1" applyFont="1" applyFill="1" applyBorder="1"/>
    <x:xf numFmtId="0" fontId="10" fillId="4" borderId="1" xfId="0" applyNumberFormat="1" applyFont="1" applyFill="1" applyBorder="1"/>
    <x:xf numFmtId="0" fontId="10" fillId="4" borderId="1" xfId="0" applyNumberFormat="1" applyFont="1" applyFill="1" applyBorder="1" applyAlignment="1">
      <x:alignment wrapText="1"/>
    </x:xf>
    <x:xf numFmtId="0" fontId="10" fillId="4" borderId="1" xfId="0" applyNumberFormat="1" applyFont="1" applyFill="1" applyBorder="1" applyAlignment="1">
      <x:alignment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2" fillId="0" borderId="1" xfId="0" applyNumberFormat="1" applyFont="1" applyFill="1" applyBorder="1" applyAlignment="1">
      <x:alignment vertical="top" wrapText="1"/>
    </x:xf>
    <x:xf numFmtId="0" fontId="11" fillId="3" borderId="0" xfId="0" applyNumberFormat="1" applyFont="1" applyFill="1" applyBorder="1" applyAlignment="1">
      <x:alignment vertical="top" wrapText="1"/>
    </x:xf>
    <x:xf numFmtId="0" fontId="12" fillId="3" borderId="0" xfId="0" applyNumberFormat="1" applyFont="1" applyFill="1" applyBorder="1" applyAlignment="1">
      <x:alignment vertical="top" wrapText="1"/>
    </x:xf>
    <x:xf numFmtId="0" fontId="11" fillId="3" borderId="1" xfId="0" applyNumberFormat="1" applyFont="1" applyFill="1" applyBorder="1" applyAlignment="1">
      <x:alignment vertical="top" wrapText="1"/>
    </x:xf>
    <x:xf numFmtId="0" fontId="12" fillId="3" borderId="1"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2" fillId="6" borderId="0" xfId="0" applyNumberFormat="1" applyFont="1" applyFill="1" applyBorder="1" applyAlignment="1">
      <x:alignment vertical="top" wrapText="1"/>
    </x:xf>
    <x:xf numFmtId="0" fontId="11" fillId="6" borderId="1" xfId="0" applyNumberFormat="1" applyFont="1" applyFill="1" applyBorder="1" applyAlignment="1">
      <x:alignment vertical="top" wrapText="1"/>
    </x:xf>
    <x:xf numFmtId="0" fontId="12" fillId="6" borderId="1" xfId="0" applyNumberFormat="1" applyFont="1" applyFill="1" applyBorder="1" applyAlignment="1">
      <x:alignment vertical="top" wrapText="1"/>
    </x:xf>
    <x:xf numFmtId="0" fontId="11" fillId="0" borderId="0" xfId="0" applyNumberFormat="1" applyFont="1" applyFill="1" applyBorder="1" applyAlignment="1">
      <x:alignment vertical="center" wrapText="1"/>
    </x:xf>
    <x:xf numFmtId="0" fontId="11" fillId="0" borderId="1" xfId="0" applyNumberFormat="1" applyFont="1" applyFill="1" applyBorder="1" applyAlignment="1">
      <x:alignment vertical="center" wrapText="1"/>
    </x:xf>
    <x:xf numFmtId="0" fontId="11" fillId="7" borderId="0" xfId="0" applyNumberFormat="1" applyFont="1" applyFill="1" applyBorder="1" applyAlignment="1">
      <x:alignment vertical="center" wrapText="1"/>
    </x:xf>
    <x:xf numFmtId="0" fontId="13" fillId="7" borderId="0" xfId="0" applyNumberFormat="1" applyFont="1" applyFill="1" applyBorder="1" applyAlignment="1">
      <x:alignment vertical="center" wrapText="1"/>
    </x:xf>
    <x:xf numFmtId="0" fontId="13" fillId="7" borderId="0" xfId="0" applyNumberFormat="1" applyFont="1" applyFill="1" applyBorder="1" applyAlignment="1">
      <x:alignment horizontal="center" vertical="center" wrapText="1"/>
    </x:xf>
    <x:xf numFmtId="0" fontId="11" fillId="7" borderId="1" xfId="0" applyNumberFormat="1" applyFont="1" applyFill="1" applyBorder="1" applyAlignment="1">
      <x:alignment vertical="center" wrapText="1"/>
    </x:xf>
    <x:xf numFmtId="0" fontId="13" fillId="7" borderId="1" xfId="0" applyNumberFormat="1" applyFont="1" applyFill="1" applyBorder="1" applyAlignment="1">
      <x:alignment vertical="center" wrapText="1"/>
    </x:xf>
    <x:xf numFmtId="0" fontId="13" fillId="7" borderId="1"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cellXfs>
  <x:cellStyles count="1">
    <x:cellStyle name="Normal" xfId="0"/>
  </x:cellStyles>
  <x:dxfs count="1">
    <x:dxf>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474ccabee84dab" /><Relationship Type="http://schemas.openxmlformats.org/officeDocument/2006/relationships/theme" Target="/xl/theme/theme1.xml" Id="R1deac9057d474034" /><Relationship Type="http://schemas.openxmlformats.org/officeDocument/2006/relationships/sharedStrings" Target="/xl/sharedStrings.xml" Id="Rc14be5c59ce04eaa" /><Relationship Type="http://schemas.openxmlformats.org/officeDocument/2006/relationships/worksheet" Target="/xl/worksheets/sheet1.xml" Id="R333dc93ae8d54939" /><Relationship Type="http://schemas.openxmlformats.org/officeDocument/2006/relationships/worksheet" Target="/xl/worksheets/sheet2.xml" Id="Rfc1071065a844ccc" /><Relationship Type="http://schemas.openxmlformats.org/officeDocument/2006/relationships/worksheet" Target="/xl/worksheets/sheet3.xml" Id="Reef65bf2eaa443a6" /><Relationship Type="http://schemas.openxmlformats.org/officeDocument/2006/relationships/worksheet" Target="/xl/worksheets/sheet4.xml" Id="R16a8b627715e4888" /><Relationship Type="http://schemas.openxmlformats.org/officeDocument/2006/relationships/worksheet" Target="/xl/worksheets/sheet5.xml" Id="Rab989143a174485b" /><Relationship Type="http://schemas.openxmlformats.org/officeDocument/2006/relationships/worksheet" Target="/xl/worksheets/sheet6.xml" Id="R6c146d2125544e2b" /><Relationship Type="http://schemas.openxmlformats.org/officeDocument/2006/relationships/worksheet" Target="/xl/worksheets/sheet7.xml" Id="R4e4f9fee73284c1e" /><Relationship Type="http://schemas.openxmlformats.org/officeDocument/2006/relationships/worksheet" Target="/xl/worksheets/sheet8.xml" Id="R45218346764f4c23" /><Relationship Type="http://schemas.openxmlformats.org/officeDocument/2006/relationships/worksheet" Target="/xl/worksheets/sheet9.xml" Id="Ra8a1e814e52444da" /></Relationships>
</file>

<file path=xl/tables/table1.xml><?xml version="1.0" encoding="utf-8"?>
<x:table xmlns:x="http://schemas.openxmlformats.org/spreadsheetml/2006/main" id="1" name="TrainerTalentCatalog" displayName="TrainerTalentCatalog" ref="A4:J64" headerRowCount="1" totalsRowCount="0" totalsRowShown="0">
  <x:tableColumns count="10">
    <x:tableColumn id="1" name="ID"/>
    <x:tableColumn id="2" name="Class"/>
    <x:tableColumn id="3" name="Branch"/>
    <x:tableColumn id="4" name="Tier"/>
    <x:tableColumn id="5" name="Talent"/>
    <x:tableColumn id="6" name="Max rank"/>
    <x:tableColumn id="7" name="Rank 1"/>
    <x:tableColumn id="8" name="Rank 2"/>
    <x:tableColumn id="9" name="Resolution / limits"/>
    <x:tableColumn id="10" name="Source"/>
  </x:tableColumns>
  <x:tableStyleInfo name="TableStyleMedium2" showFirstColumn="0" showLastColumn="0" showRowStripes="1" showColumnStripes="0"/>
</x:table>
</file>

<file path=xl/tables/table2.xml><?xml version="1.0" encoding="utf-8"?>
<x:table xmlns:x="http://schemas.openxmlformats.org/spreadsheetml/2006/main" id="2" name="TrainerBuildExamples" displayName="TrainerBuildExamples" ref="A4:J16" headerRowCount="1" totalsRowCount="0" totalsRowShown="0">
  <x:tableColumns count="10">
    <x:tableColumn id="1" name="Class"/>
    <x:tableColumn id="2" name="Build"/>
    <x:tableColumn id="3" name="Points"/>
    <x:tableColumn id="4" name="Branch distribution"/>
    <x:tableColumn id="5" name="Stat priorities"/>
    <x:tableColumn id="6" name="Active-slot roles"/>
    <x:tableColumn id="7" name="Example monsters"/>
    <x:tableColumn id="8" name="Tactical plan"/>
    <x:tableColumn id="9" name="Trade-off"/>
    <x:tableColumn id="10" name="Source / scope"/>
  </x:tableColumns>
  <x:tableStyleInfo name="TableStyleMedium2" showFirstColumn="0" showLastColumn="0" showRowStripes="1" showColumnStripes="0"/>
</x:table>
</file>

<file path=xl/tables/table3.xml><?xml version="1.0" encoding="utf-8"?>
<x:table xmlns:x="http://schemas.openxmlformats.org/spreadsheetml/2006/main" id="3" name="TrainerSharedRules" displayName="TrainerSharedRules" ref="A4:C31" headerRowCount="1" totalsRowCount="0" totalsRowShown="0">
  <x:tableColumns count="3">
    <x:tableColumn id="1" name="No."/>
    <x:tableColumn id="2" name="Topic"/>
    <x:tableColumn id="3" name="Rule / spec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6ef26ce29ddf44a3" /></Relationships>
</file>

<file path=xl/worksheets/_rels/sheet8.xml.rels>&#65279;<?xml version="1.0" encoding="utf-8"?><Relationships xmlns="http://schemas.openxmlformats.org/package/2006/relationships"><Relationship Type="http://schemas.openxmlformats.org/officeDocument/2006/relationships/table" Target="/xl/tables/table2.xml" Id="R80f81ecb06684b1e" /></Relationships>
</file>

<file path=xl/worksheets/_rels/sheet9.xml.rels>&#65279;<?xml version="1.0" encoding="utf-8"?><Relationships xmlns="http://schemas.openxmlformats.org/package/2006/relationships"><Relationship Type="http://schemas.openxmlformats.org/officeDocument/2006/relationships/table" Target="/xl/tables/table3.xml" Id="Raa147b3cd25a4b79"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4" customHeight="1">
      <x:c r="A1" s="4" t="str">
        <x:v>HUNTARIA  /  TRAINER PASSIVE TREES</x:v>
      </x:c>
      <x:c r="B1" s="4"/>
      <x:c r="C1" s="4"/>
      <x:c r="D1" s="4"/>
      <x:c r="E1" s="4"/>
      <x:c r="F1" s="4"/>
      <x:c r="G1" s="4"/>
      <x:c r="H1" s="4"/>
    </x:row>
    <x:row r="2" ht="24" customHeight="1">
      <x:c r="A2" s="4"/>
      <x:c r="B2" s="4"/>
      <x:c r="C2" s="4"/>
      <x:c r="D2" s="4"/>
      <x:c r="E2" s="4"/>
      <x:c r="F2" s="4"/>
      <x:c r="G2" s="4"/>
      <x:c r="H2" s="4"/>
    </x:row>
    <x:row r="3" ht="35" customHeight="1">
      <x:c r="A3" s="9" t="str">
        <x:v>Four freely statted classes • Fixed monster growth • Original, untested design proposal</x:v>
      </x:c>
      <x:c r="B3" s="9"/>
      <x:c r="C3" s="9"/>
      <x:c r="D3" s="9"/>
      <x:c r="E3" s="9"/>
      <x:c r="F3" s="9"/>
      <x:c r="G3" s="9"/>
      <x:c r="H3" s="9"/>
    </x:row>
    <x:row r="5" ht="24" customHeight="1">
      <x:c r="A5" s="13" t="str">
        <x:v>POINT BUDGET</x:v>
      </x:c>
      <x:c r="B5" s="13" t="str"/>
      <x:c r="C5" s="13" t="str">
        <x:v>TALENTS</x:v>
      </x:c>
      <x:c r="D5" s="13" t="str"/>
      <x:c r="E5" s="13"/>
      <x:c r="F5" s="13" t="str">
        <x:v>CLASS TRAITS</x:v>
      </x:c>
      <x:c r="G5" s="13" t="str">
        <x:v>BRANCHES</x:v>
      </x:c>
      <x:c r="H5" s="13" t="str">
        <x:v>EXAMPLE BUILDS</x:v>
      </x:c>
    </x:row>
    <x:row r="6" ht="28" customHeight="1">
      <x:c r="A6" t="str">
        <x:v>Endgame</x:v>
      </x:c>
      <x:c r="B6" s="16" t="n">
        <x:v>15</x:v>
      </x:c>
      <x:c r="C6" t="str">
        <x:v>Designed</x:v>
      </x:c>
      <x:c r="D6" s="18" t="n">
        <x:f>COUNTA('Talent Data'!A5:A64)</x:f>
        <x:v>60</x:v>
      </x:c>
      <x:c r="E6" s="18"/>
      <x:c r="F6" s="18" t="n">
        <x:v>4</x:v>
      </x:c>
      <x:c r="G6" s="18" t="n">
        <x:v>12</x:v>
      </x:c>
      <x:c r="H6" s="18" t="n">
        <x:v>12</x:v>
      </x:c>
    </x:row>
    <x:row r="8" ht="28" customHeight="1">
      <x:c r="A8" s="27" t="str">
        <x:v>STRUCTURE  /  Opening [2] → either Fork [2] → Advanced [2] → Capstone [1]</x:v>
      </x:c>
      <x:c r="B8" s="27"/>
      <x:c r="C8" s="27"/>
      <x:c r="D8" s="27"/>
      <x:c r="E8" s="27"/>
      <x:c r="F8" s="27"/>
      <x:c r="G8" s="27"/>
      <x:c r="H8" s="27"/>
    </x:row>
    <x:row r="9" ht="20" customHeight="1">
      <x:c r="A9" s="22" t="str">
        <x:v>Forks require Opening rank 2. Advanced requires 4 branch points and a fully ranked Fork. Capstone requires 7 branch points and Advanced rank 2.</x:v>
      </x:c>
      <x:c r="B9" s="22"/>
      <x:c r="C9" s="22"/>
      <x:c r="D9" s="22"/>
      <x:c r="E9" s="22"/>
      <x:c r="F9" s="22"/>
      <x:c r="G9" s="22"/>
      <x:c r="H9" s="22"/>
    </x:row>
    <x:row r="10" ht="20" customHeight="1">
      <x:c r="A10" s="22"/>
      <x:c r="B10" s="22"/>
      <x:c r="C10" s="22"/>
      <x:c r="D10" s="22"/>
      <x:c r="E10" s="22"/>
      <x:c r="F10" s="22"/>
      <x:c r="G10" s="22"/>
      <x:c r="H10" s="22"/>
    </x:row>
    <x:row r="11" ht="20" customHeight="1">
      <x:c r="A11" s="22" t="str">
        <x:v>A complete branch costs 9 points. Each capstone requires at least 8 including prerequisites: two cannot fit in the 15-point budget. Rank 2 replaces, rather than adds to, Rank 1.</x:v>
      </x:c>
      <x:c r="B11" s="22"/>
      <x:c r="C11" s="22"/>
      <x:c r="D11" s="22"/>
      <x:c r="E11" s="22"/>
      <x:c r="F11" s="22"/>
      <x:c r="G11" s="22"/>
      <x:c r="H11" s="22"/>
    </x:row>
    <x:row r="12" ht="20" customHeight="1">
      <x:c r="A12" s="22"/>
      <x:c r="B12" s="22"/>
      <x:c r="C12" s="22"/>
      <x:c r="D12" s="22"/>
      <x:c r="E12" s="22"/>
      <x:c r="F12" s="22"/>
      <x:c r="G12" s="22"/>
      <x:c r="H12" s="22"/>
    </x:row>
    <x:row r="13" ht="20" customHeight="1">
      <x:c r="A13" s="22" t="str">
        <x:v>Talent points are separate from attribute points. The 15-point total is proposed; no character-level award schedule has been assumed.</x:v>
      </x:c>
      <x:c r="B13" s="22"/>
      <x:c r="C13" s="22"/>
      <x:c r="D13" s="22"/>
      <x:c r="E13" s="22"/>
      <x:c r="F13" s="22"/>
      <x:c r="G13" s="22"/>
      <x:c r="H13" s="22"/>
    </x:row>
    <x:row r="14" ht="20" customHeight="1">
      <x:c r="A14" s="22"/>
      <x:c r="B14" s="22"/>
      <x:c r="C14" s="22"/>
      <x:c r="D14" s="22"/>
      <x:c r="E14" s="22"/>
      <x:c r="F14" s="22"/>
      <x:c r="G14" s="22"/>
      <x:c r="H14" s="22"/>
    </x:row>
    <x:row r="15" ht="26" customHeight="1">
      <x:c r="A15" s="30" t="str">
        <x:v>Mage</x:v>
      </x:c>
      <x:c r="B15" s="30" t="str">
        <x:v>Living Grimoire  /  Prism Warder  /  Astral Architect</x:v>
      </x:c>
      <x:c r="C15" s="30"/>
      <x:c r="D15" s="30"/>
      <x:c r="E15" s="30"/>
      <x:c r="F15" s="30"/>
      <x:c r="G15" s="30"/>
      <x:c r="H15" s="30"/>
    </x:row>
    <x:row r="16" ht="26" customHeight="1">
      <x:c r="A16" s="33" t="str">
        <x:v>Druid</x:v>
      </x:c>
      <x:c r="B16" s="33" t="str">
        <x:v>Lifebloom  /  Thorn Covenant  /  Grovekeeper</x:v>
      </x:c>
      <x:c r="C16" s="33"/>
      <x:c r="D16" s="33"/>
      <x:c r="E16" s="33"/>
      <x:c r="F16" s="33"/>
      <x:c r="G16" s="33"/>
      <x:c r="H16" s="33"/>
    </x:row>
    <x:row r="17" ht="26" customHeight="1">
      <x:c r="A17" s="30" t="str">
        <x:v>Knight</x:v>
      </x:c>
      <x:c r="B17" s="30" t="str">
        <x:v>Bastion  /  Iron Reprisal  /  Bannerlord</x:v>
      </x:c>
      <x:c r="C17" s="30"/>
      <x:c r="D17" s="30"/>
      <x:c r="E17" s="30"/>
      <x:c r="F17" s="30"/>
      <x:c r="G17" s="30"/>
      <x:c r="H17" s="30"/>
    </x:row>
    <x:row r="18" ht="26" customHeight="1">
      <x:c r="A18" s="33" t="str">
        <x:v>Hunter</x:v>
      </x:c>
      <x:c r="B18" s="33" t="str">
        <x:v>Deadeye  /  Packleader  /  Trapwright</x:v>
      </x:c>
      <x:c r="C18" s="33"/>
      <x:c r="D18" s="33"/>
      <x:c r="E18" s="33"/>
      <x:c r="F18" s="33"/>
      <x:c r="G18" s="33"/>
      <x:c r="H18" s="33"/>
    </x:row>
    <x:row r="20" ht="20" customHeight="1">
      <x:c r="A20" s="22" t="str">
        <x:v>Read each class sheet for full rules and rank values. Builds gives 12 tactical examples. Allocations contains their editable talent ranks with formula-based budget and prerequisite checks.</x:v>
      </x:c>
      <x:c r="B20" s="22"/>
      <x:c r="C20" s="22"/>
      <x:c r="D20" s="22"/>
      <x:c r="E20" s="22"/>
      <x:c r="F20" s="22"/>
      <x:c r="G20" s="22"/>
      <x:c r="H20" s="22"/>
    </x:row>
    <x:row r="21" ht="20" customHeight="1">
      <x:c r="A21" s="22"/>
      <x:c r="B21" s="22"/>
      <x:c r="C21" s="22"/>
      <x:c r="D21" s="22"/>
      <x:c r="E21" s="22"/>
      <x:c r="F21" s="22"/>
      <x:c r="G21" s="22"/>
      <x:c r="H21" s="22"/>
    </x:row>
    <x:row r="22" ht="20" customHeight="1">
      <x:c r="A22" s="22" t="str">
        <x:v>A = trainer ATK • M = trainer MATK • H = trainer maximum HP • P1/P2 = equipped monsters' declared primary attack stat • R = prototype melee-reach unit.</x:v>
      </x:c>
      <x:c r="B22" s="22"/>
      <x:c r="C22" s="22"/>
      <x:c r="D22" s="22"/>
      <x:c r="E22" s="22"/>
      <x:c r="F22" s="22"/>
      <x:c r="G22" s="22"/>
      <x:c r="H22" s="22"/>
    </x:row>
    <x:row r="23" ht="20" customHeight="1">
      <x:c r="A23" s="22"/>
      <x:c r="B23" s="22"/>
      <x:c r="C23" s="22"/>
      <x:c r="D23" s="22"/>
      <x:c r="E23" s="22"/>
      <x:c r="F23" s="22"/>
      <x:c r="G23" s="22"/>
      <x:c r="H23" s="22"/>
    </x:row>
    <x:row r="24" ht="20" customHeight="1">
      <x:c r="A24" s="22" t="str">
        <x:v>Core party = trainer + two equipped monsters. All talents are automatic and use no extra active slots. Summons participate only when an effect explicitly includes them.</x:v>
      </x:c>
      <x:c r="B24" s="22"/>
      <x:c r="C24" s="22"/>
      <x:c r="D24" s="22"/>
      <x:c r="E24" s="22"/>
      <x:c r="F24" s="22"/>
      <x:c r="G24" s="22"/>
      <x:c r="H24" s="22"/>
    </x:row>
    <x:row r="25" ht="20" customHeight="1">
      <x:c r="A25" s="22"/>
      <x:c r="B25" s="22"/>
      <x:c r="C25" s="22"/>
      <x:c r="D25" s="22"/>
      <x:c r="E25" s="22"/>
      <x:c r="F25" s="22"/>
      <x:c r="G25" s="22"/>
      <x:c r="H25" s="22"/>
    </x:row>
    <x:row r="26" ht="20" customHeight="1">
      <x:c r="A26" s="22" t="str">
        <x:v>Trainer death ends battle immediately. Seeds, emergency barriers and retaliation never revive the trainer or retrospectively undo a lethal hit.</x:v>
      </x:c>
      <x:c r="B26" s="22"/>
      <x:c r="C26" s="22"/>
      <x:c r="D26" s="22"/>
      <x:c r="E26" s="22"/>
      <x:c r="F26" s="22"/>
      <x:c r="G26" s="22"/>
      <x:c r="H26" s="22"/>
    </x:row>
    <x:row r="27" ht="20" customHeight="1">
      <x:c r="A27" s="22"/>
      <x:c r="B27" s="22"/>
      <x:c r="C27" s="22"/>
      <x:c r="D27" s="22"/>
      <x:c r="E27" s="22"/>
      <x:c r="F27" s="22"/>
      <x:c r="G27" s="22"/>
      <x:c r="H27" s="22"/>
    </x:row>
    <x:row r="28" ht="20" customHeight="1">
      <x:c r="A28" s="22" t="str">
        <x:v>Monster base growth is fixed. 'Build around HP / MATK' now means equipment, aura and move choices—not spendable monster stat points. The earlier roster files have not been silently rewritten.</x:v>
      </x:c>
      <x:c r="B28" s="22"/>
      <x:c r="C28" s="22"/>
      <x:c r="D28" s="22"/>
      <x:c r="E28" s="22"/>
      <x:c r="F28" s="22"/>
      <x:c r="G28" s="22"/>
      <x:c r="H28" s="22"/>
    </x:row>
    <x:row r="29" ht="20" customHeight="1">
      <x:c r="A29" s="22"/>
      <x:c r="B29" s="22"/>
      <x:c r="C29" s="22"/>
      <x:c r="D29" s="22"/>
      <x:c r="E29" s="22"/>
      <x:c r="F29" s="22"/>
      <x:c r="G29" s="22"/>
      <x:c r="H29" s="22"/>
    </x:row>
    <x:row r="30" ht="20" customHeight="1">
      <x:c r="A30" s="36" t="str">
        <x:v>NOT PLAYTESTED. Example allocations were checked for budget, prerequisites and source-roster species names. Actual combat balance still needs stat curves, active definitions and encounter simulation.</x:v>
      </x:c>
      <x:c r="B30" s="36"/>
      <x:c r="C30" s="36"/>
      <x:c r="D30" s="36"/>
      <x:c r="E30" s="36"/>
      <x:c r="F30" s="36"/>
      <x:c r="G30" s="36"/>
      <x:c r="H30" s="36"/>
    </x:row>
    <x:row r="31" ht="20" customHeight="1">
      <x:c r="A31" s="36"/>
      <x:c r="B31" s="36"/>
      <x:c r="C31" s="36"/>
      <x:c r="D31" s="36"/>
      <x:c r="E31" s="36"/>
      <x:c r="F31" s="36"/>
      <x:c r="G31" s="36"/>
      <x:c r="H31" s="36"/>
    </x:row>
  </x:sheetData>
  <x:mergeCells>
    <x:mergeCell ref="A1:H2"/>
    <x:mergeCell ref="A3:H3"/>
    <x:mergeCell ref="A8:H8"/>
    <x:mergeCell ref="A9:H10"/>
    <x:mergeCell ref="A11:H12"/>
    <x:mergeCell ref="A13:H14"/>
    <x:mergeCell ref="A20:H21"/>
    <x:mergeCell ref="A22:H23"/>
    <x:mergeCell ref="A24:H25"/>
    <x:mergeCell ref="A26:H27"/>
    <x:mergeCell ref="A28:H29"/>
    <x:mergeCell ref="A30:H31"/>
    <x:mergeCell ref="B15:H15"/>
    <x:mergeCell ref="B16:H16"/>
    <x:mergeCell ref="B17:H17"/>
    <x:mergeCell ref="B18:H18"/>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2" hidden="0" customWidth="1"/>
    <x:col min="3" max="3" width="25" hidden="0" customWidth="1"/>
    <x:col min="4" max="4" width="44" hidden="0" customWidth="1"/>
    <x:col min="5" max="5" width="31" hidden="0" customWidth="1"/>
    <x:col min="6" max="6" width="52" hidden="0" customWidth="1"/>
  </x:cols>
  <x:sheetData>
    <x:row r="1" ht="24" customHeight="1">
      <x:c r="A1" s="4" t="str">
        <x:v>MAGE</x:v>
      </x:c>
      <x:c r="B1" s="4"/>
      <x:c r="C1" s="4"/>
      <x:c r="D1" s="4"/>
      <x:c r="E1" s="4"/>
      <x:c r="F1" s="4"/>
    </x:row>
    <x:row r="2" ht="24" customHeight="1">
      <x:c r="A2" s="4"/>
      <x:c r="B2" s="4"/>
      <x:c r="C2" s="4"/>
      <x:c r="D2" s="4"/>
      <x:c r="E2" s="4"/>
      <x:c r="F2" s="4"/>
    </x:row>
    <x:row r="3" ht="35" customHeight="1">
      <x:c r="A3" s="9" t="str">
        <x:v>Turn the three-skill rotation into spell combinations, personal barriers, or a constructed magical battery.</x:v>
      </x:c>
      <x:c r="B3" s="9"/>
      <x:c r="C3" s="9"/>
      <x:c r="D3" s="9"/>
      <x:c r="E3" s="9"/>
      <x:c r="F3" s="9"/>
    </x:row>
    <x:row r="5" ht="24" customHeight="1">
      <x:c r="A5" s="13" t="str">
        <x:v>FREE TRAIT  /  Arcane Conduit</x:v>
      </x:c>
      <x:c r="B5" s="13"/>
      <x:c r="C5" s="13"/>
      <x:c r="D5" s="13"/>
      <x:c r="E5" s="13"/>
      <x:c r="F5" s="13"/>
    </x:row>
    <x:row r="6" ht="24" customHeight="1">
      <x:c r="A6" s="22" t="str">
        <x:v>After a personal active resolves, prime your next landed basic attack within 3 seconds for +0.15 M magic damage. One charge; refreshes do not stack.  Only player-equipped active casts prime the charge. The bonus is a secondary talent packet, not a second basic attack or cast.</x:v>
      </x:c>
      <x:c r="B6" s="22"/>
      <x:c r="C6" s="22"/>
      <x:c r="D6" s="22"/>
      <x:c r="E6" s="22"/>
      <x:c r="F6" s="22"/>
    </x:row>
    <x:row r="7" ht="24" customHeight="1">
      <x:c r="A7" s="22"/>
      <x:c r="B7" s="22"/>
      <x:c r="C7" s="22"/>
      <x:c r="D7" s="22"/>
      <x:c r="E7" s="22"/>
      <x:c r="F7" s="22"/>
    </x:row>
    <x:row r="9" ht="28" customHeight="1">
      <x:c r="A9" s="38" t="str">
        <x:v>LIVING GRIMOIRE  /  9 points to complete</x:v>
      </x:c>
      <x:c r="B9" s="38"/>
      <x:c r="C9" s="38"/>
      <x:c r="D9" s="38"/>
      <x:c r="E9" s="38"/>
      <x:c r="F9" s="38"/>
    </x:row>
    <x:row r="10" ht="28" customHeight="1">
      <x:c r="A10" s="21" t="str">
        <x:v>Build a sentence from all three skill slots, then decide whether its payoff is pure damage or damage plus protection.</x:v>
      </x:c>
      <x:c r="B10" s="21"/>
      <x:c r="C10" s="21"/>
      <x:c r="D10" s="21"/>
      <x:c r="E10" s="21"/>
      <x:c r="F10" s="21"/>
    </x:row>
    <x:row r="11" ht="28" customHeight="1">
      <x:c r="A11" s="41" t="str">
        <x:v>STATS: INT/MATK first; VIT/HP next. A modest AGI investment can help spend Conduit charges, but does not shorten skill cooldowns.</x:v>
      </x:c>
      <x:c r="B11" s="41"/>
      <x:c r="C11" s="41"/>
      <x:c r="D11" s="41"/>
      <x:c r="E11" s="41"/>
      <x:c r="F11" s="41"/>
    </x:row>
    <x:row r="12" ht="30" customHeight="1">
      <x:c r="A12" s="47" t="str">
        <x:v>ID</x:v>
      </x:c>
      <x:c r="B12" s="47" t="str">
        <x:v>Tier</x:v>
      </x:c>
      <x:c r="C12" s="47" t="str">
        <x:v>Talent</x:v>
      </x:c>
      <x:c r="D12" s="47" t="str">
        <x:v>Rank 1</x:v>
      </x:c>
      <x:c r="E12" s="47" t="str">
        <x:v>Rank 2</x:v>
      </x:c>
      <x:c r="F12" s="47" t="str">
        <x:v>Resolution / limits</x:v>
      </x:c>
    </x:row>
    <x:row r="13" ht="120" customHeight="1">
      <x:c r="A13" s="60" t="str">
        <x:v>MG1</x:v>
      </x:c>
      <x:c r="B13" s="60" t="str">
        <x:v>Opening</x:v>
      </x:c>
      <x:c r="C13" s="61" t="str">
        <x:v>Threefold Script</x:v>
      </x:c>
      <x:c r="D13" s="60" t="str">
        <x:v>Using all three different equipped active slots illuminates the next damaging active: add 0.40 M magic damage to its primary hit.</x:v>
      </x:c>
      <x:c r="E13" s="60" t="str">
        <x:v>Illuminated bonus becomes 0.70 M.</x:v>
      </x:c>
      <x:c r="F13" s="60" t="str">
        <x:v>Track slot identities, not number of targets or hits. On illumination, stop recording until the empowered active begins. Clear the record when consumed; that active's resolution may start the next cycle. An empowered active must have a legal enemy target; a miss/invalidated hit does not refund the consumed enhancement.</x:v>
      </x:c>
    </x:row>
    <x:row r="14" ht="120" customHeight="1">
      <x:c r="A14" s="54" t="str">
        <x:v>MG2</x:v>
      </x:c>
      <x:c r="B14" s="54" t="str">
        <x:v>Fork A</x:v>
      </x:c>
      <x:c r="C14" s="58" t="str">
        <x:v>Borrowed Syntax</x:v>
      </x:c>
      <x:c r="D14" s="54" t="str">
        <x:v>A core monster's personal active primes your next damaging active within 4 seconds for +0.12 M magic damage.</x:v>
      </x:c>
      <x:c r="E14" s="54" t="str">
        <x:v>Bonus becomes 0.20 M.</x:v>
      </x:c>
      <x:c r="F14" s="54" t="str">
        <x:v>One shared charge. The two monsters share a 2-second grant cooldown. A repeated grant refreshes but does not stack. Monster summons, passive casts and echoes cannot prime it.</x:v>
      </x:c>
    </x:row>
    <x:row r="15" ht="120" customHeight="1">
      <x:c r="A15" s="60" t="str">
        <x:v>MG3</x:v>
      </x:c>
      <x:c r="B15" s="60" t="str">
        <x:v>Fork B</x:v>
      </x:c>
      <x:c r="C15" s="61" t="str">
        <x:v>Quiet Equation</x:v>
      </x:c>
      <x:c r="D15" s="60" t="str">
        <x:v>A purely non-damaging personal active gives you a 0.20 M + 1% H shield for 2 seconds.</x:v>
      </x:c>
      <x:c r="E15" s="60" t="str">
        <x:v>Shield becomes 0.35 M + 1% H.</x:v>
      </x:c>
      <x:c r="F15" s="60" t="str">
        <x:v>A skill with a direct or delayed damage component is not classified as purely non-damaging. Each cast produces one self-shield application, subject to ordinary same-source shield rules.</x:v>
      </x:c>
    </x:row>
    <x:row r="16" ht="120" customHeight="1">
      <x:c r="A16" s="54" t="str">
        <x:v>MG4</x:v>
      </x:c>
      <x:c r="B16" s="54" t="str">
        <x:v>Advanced</x:v>
      </x:c>
      <x:c r="C16" s="58" t="str">
        <x:v>Arcane Punctuation</x:v>
      </x:c>
      <x:c r="D16" s="54" t="str">
        <x:v>An illuminated primary hit schedules a second bolt for 0.20 M magic damage after 0.5 seconds.</x:v>
      </x:c>
      <x:c r="E16" s="54" t="str">
        <x:v>Bolt becomes 0.35 M.</x:v>
      </x:c>
      <x:c r="F16" s="54" t="str">
        <x:v>The bolt only hits the original enemy if it is still alive and legally reachable; it does not seek the trainer behind it. It copies no control, status, resource generation, or skill multiplier.</x:v>
      </x:c>
    </x:row>
    <x:row r="17" ht="120" customHeight="1">
      <x:c r="A17" s="64" t="str">
        <x:v>MG5</x:v>
      </x:c>
      <x:c r="B17" s="64" t="str">
        <x:v>Capstone</x:v>
      </x:c>
      <x:c r="C17" s="65" t="str">
        <x:v>Grand Conjunction</x:v>
      </x:c>
      <x:c r="D17" s="60" t="str">
        <x:v>If the completed Script used three damaging skills, increase its illuminated bonus by 50%. If it included a purely non-damaging skill, instead shield the lowest-HP-percentage core ally for 0.70 M for 3 seconds when the empowered hit lands.</x:v>
      </x:c>
      <x:c r="E17" s="60" t="str">
        <x:v>One-rank capstone</x:v>
      </x:c>
      <x:c r="F17" s="60" t="str">
        <x:v>Classify the completed three-slot cycle and store its mode. The 50% modifier applies only to Threefold Script's bonus, not the whole skill, Punctuation or Borrowed Syntax. The alternative shield is one ally's shield, not a party-wide amount.</x:v>
      </x:c>
    </x:row>
    <x:row r="18" ht="30" customHeight="1">
      <x:c r="A18" s="41" t="str">
        <x:v>TRADE-OFF: Needs a functioning three-slot rotation. An unused situational skill can delay the full spell cycle.</x:v>
      </x:c>
      <x:c r="B18" s="41"/>
      <x:c r="C18" s="41"/>
      <x:c r="D18" s="41"/>
      <x:c r="E18" s="41"/>
      <x:c r="F18" s="41"/>
    </x:row>
    <x:row r="20" ht="28" customHeight="1">
      <x:c r="A20" s="38" t="str">
        <x:v>PRISM WARDER  /  9 points to complete</x:v>
      </x:c>
      <x:c r="B20" s="38"/>
      <x:c r="C20" s="38"/>
      <x:c r="D20" s="38"/>
      <x:c r="E20" s="38"/>
      <x:c r="F20" s="38"/>
    </x:row>
    <x:row r="21" ht="28" customHeight="1">
      <x:c r="A21" s="21" t="str">
        <x:v>Stay alive through renewable facets and distribute carefully limited protection.</x:v>
      </x:c>
      <x:c r="B21" s="21"/>
      <x:c r="C21" s="21"/>
      <x:c r="D21" s="21"/>
      <x:c r="E21" s="21"/>
      <x:c r="F21" s="21"/>
    </x:row>
    <x:row r="22" ht="28" customHeight="1">
      <x:c r="A22" s="41" t="str">
        <x:v>STATS: INT/MATK and VIT/HP. HP increases shield room and the emergency barrier; STR is unnecessary.</x:v>
      </x:c>
      <x:c r="B22" s="41"/>
      <x:c r="C22" s="41"/>
      <x:c r="D22" s="41"/>
      <x:c r="E22" s="41"/>
      <x:c r="F22" s="41"/>
    </x:row>
    <x:row r="23" ht="30" customHeight="1">
      <x:c r="A23" s="47" t="str">
        <x:v>ID</x:v>
      </x:c>
      <x:c r="B23" s="47" t="str">
        <x:v>Tier</x:v>
      </x:c>
      <x:c r="C23" s="47" t="str">
        <x:v>Talent</x:v>
      </x:c>
      <x:c r="D23" s="47" t="str">
        <x:v>Rank 1</x:v>
      </x:c>
      <x:c r="E23" s="47" t="str">
        <x:v>Rank 2</x:v>
      </x:c>
      <x:c r="F23" s="47" t="str">
        <x:v>Resolution / limits</x:v>
      </x:c>
    </x:row>
    <x:row r="24" ht="120" customHeight="1">
      <x:c r="A24" s="60" t="str">
        <x:v>MP1</x:v>
      </x:c>
      <x:c r="B24" s="60" t="str">
        <x:v>Opening</x:v>
      </x:c>
      <x:c r="C24" s="61" t="str">
        <x:v>Faceted Skin</x:v>
      </x:c>
      <x:c r="D24" s="60" t="str">
        <x:v>Every personal active adds a self-shield of 0.25 M + 1% H for 3 seconds.</x:v>
      </x:c>
      <x:c r="E24" s="60" t="str">
        <x:v>Adds 0.40 M + 1.5% H instead.</x:v>
      </x:c>
      <x:c r="F24" s="60" t="str">
        <x:v>Only this talent's pool accumulates; cap it at 15% H. New applications refresh this pool to 3 seconds. Count the amount actually added after its cap for downstream effects.</x:v>
      </x:c>
    </x:row>
    <x:row r="25" ht="120" customHeight="1">
      <x:c r="A25" s="54" t="str">
        <x:v>MP2</x:v>
      </x:c>
      <x:c r="B25" s="54" t="str">
        <x:v>Fork A</x:v>
      </x:c>
      <x:c r="C25" s="58" t="str">
        <x:v>Prismatic Refusal</x:v>
      </x:c>
      <x:c r="D25" s="54" t="str">
        <x:v>Gaining a Faceted Skin shield primes your next damaging active within 3 seconds for +0.15 M magic damage.</x:v>
      </x:c>
      <x:c r="E25" s="54" t="str">
        <x:v>Bonus becomes 0.25 M.</x:v>
      </x:c>
      <x:c r="F25" s="54" t="str">
        <x:v>One charge, 3-second shared grant cooldown. The source shield must have added a positive amount. The empowered active need not still be shielded when it lands.</x:v>
      </x:c>
    </x:row>
    <x:row r="26" ht="120" customHeight="1">
      <x:c r="A26" s="60" t="str">
        <x:v>MP3</x:v>
      </x:c>
      <x:c r="B26" s="60" t="str">
        <x:v>Fork B</x:v>
      </x:c>
      <x:c r="C26" s="61" t="str">
        <x:v>Sheltercasting</x:v>
      </x:c>
      <x:c r="D26" s="60" t="str">
        <x:v>Give the lowest-HP-percentage core monster a 3-second shield worth 25% of the amount Faceted Skin actually added.</x:v>
      </x:c>
      <x:c r="E26" s="60" t="str">
        <x:v>Transfer-equivalent amount becomes 40%.</x:v>
      </x:c>
      <x:c r="F26" s="60" t="str">
        <x:v>Creates a separate smaller shield; it does not take shield HP from the mage. It cannot target a summoned entity, and does not count as another Faceted Skin grant.</x:v>
      </x:c>
    </x:row>
    <x:row r="27" ht="120" customHeight="1">
      <x:c r="A27" s="54" t="str">
        <x:v>MP4</x:v>
      </x:c>
      <x:c r="B27" s="54" t="str">
        <x:v>Advanced</x:v>
      </x:c>
      <x:c r="C27" s="58" t="str">
        <x:v>Fracture Memory</x:v>
      </x:c>
      <x:c r="D27" s="54" t="str">
        <x:v>When enemy damage breaks your last ordinary personal shield, reduce the next enemy direct hit against you within 3 seconds by 15%.</x:v>
      </x:c>
      <x:c r="E27" s="54" t="str">
        <x:v>Reduction becomes 25%.</x:v>
      </x:c>
      <x:c r="F27" s="54" t="str">
        <x:v>6-second trigger cooldown. Shield expiry, dispels and voluntarily spending shield HP do not count as a break. Applies to a later hit, never to the hit that already broke the shield. Shared Prism Sanctuary barriers are excluded.</x:v>
      </x:c>
    </x:row>
    <x:row r="28" ht="120" customHeight="1">
      <x:c r="A28" s="64" t="str">
        <x:v>MP5</x:v>
      </x:c>
      <x:c r="B28" s="64" t="str">
        <x:v>Capstone</x:v>
      </x:c>
      <x:c r="C28" s="65" t="str">
        <x:v>Prism Sanctuary</x:v>
      </x:c>
      <x:c r="D28" s="60" t="str">
        <x:v>Once per battle, after surviving enemy damage that leaves you below 45% HP, create a 4-second shared party barrier with capacity 12% H + 0.80 M.</x:v>
      </x:c>
      <x:c r="E28" s="60" t="str">
        <x:v>One-rank capstone</x:v>
      </x:c>
      <x:c r="F28" s="60" t="str">
        <x:v>All three core allies draw from one finite barrier pool after their own shields; this is not the full amount per ally. It is not a summon or interception effect and triggers no ordinary shield-absorption passives. The triggering damage is already resolved; lethal damage ends the battle before Sanctuary can appear.</x:v>
      </x:c>
    </x:row>
    <x:row r="29" ht="30" customHeight="1">
      <x:c r="A29" s="41" t="str">
        <x:v>TRADE-OFF: Less burst than Grimoire. Enemy shield removal and a lethal hit before the emergency trigger remain dangerous.</x:v>
      </x:c>
      <x:c r="B29" s="41"/>
      <x:c r="C29" s="41"/>
      <x:c r="D29" s="41"/>
      <x:c r="E29" s="41"/>
      <x:c r="F29" s="41"/>
    </x:row>
    <x:row r="31" ht="28" customHeight="1">
      <x:c r="A31" s="38" t="str">
        <x:v>ASTRAL ARCHITECT  /  9 points to complete</x:v>
      </x:c>
      <x:c r="B31" s="38"/>
      <x:c r="C31" s="38"/>
      <x:c r="D31" s="38"/>
      <x:c r="E31" s="38"/>
      <x:c r="F31" s="38"/>
    </x:row>
    <x:row r="32" ht="28" customHeight="1">
      <x:c r="A32" s="21" t="str">
        <x:v>Build one magical firing platform whose value depends on your own and your companions' real casts.</x:v>
      </x:c>
      <x:c r="B32" s="21"/>
      <x:c r="C32" s="21"/>
      <x:c r="D32" s="21"/>
      <x:c r="E32" s="21"/>
      <x:c r="F32" s="21"/>
    </x:row>
    <x:row r="33" ht="28" customHeight="1">
      <x:c r="A33" s="41" t="str">
        <x:v>STATS: INT/MATK first, VIT/HP second. The construct does not inherit owner ASPD or every equipment proc.</x:v>
      </x:c>
      <x:c r="B33" s="41"/>
      <x:c r="C33" s="41"/>
      <x:c r="D33" s="41"/>
      <x:c r="E33" s="41"/>
      <x:c r="F33" s="41"/>
    </x:row>
    <x:row r="34" ht="30" customHeight="1">
      <x:c r="A34" s="47" t="str">
        <x:v>ID</x:v>
      </x:c>
      <x:c r="B34" s="47" t="str">
        <x:v>Tier</x:v>
      </x:c>
      <x:c r="C34" s="47" t="str">
        <x:v>Talent</x:v>
      </x:c>
      <x:c r="D34" s="47" t="str">
        <x:v>Rank 1</x:v>
      </x:c>
      <x:c r="E34" s="47" t="str">
        <x:v>Rank 2</x:v>
      </x:c>
      <x:c r="F34" s="47" t="str">
        <x:v>Resolution / limits</x:v>
      </x:c>
    </x:row>
    <x:row r="35" ht="120" customHeight="1">
      <x:c r="A35" s="60" t="str">
        <x:v>MA1</x:v>
      </x:c>
      <x:c r="B35" s="60" t="str">
        <x:v>Opening</x:v>
      </x:c>
      <x:c r="C35" s="61" t="str">
        <x:v>Astral Lens</x:v>
      </x:c>
      <x:c r="D35" s="60" t="str">
        <x:v>Start battle with one stationary lens: 12% H HP, 6-second life, one 0.18 M magic bolt at seconds 1, 3 and 5.</x:v>
      </x:c>
      <x:c r="E35" s="60" t="str">
        <x:v>Bolts become 0.30 M.</x:v>
      </x:c>
      <x:c r="F35" s="60" t="str">
        <x:v>Place adjacent to the mage in a legal unoccupied position; use mage's ordinary ranged reach. It prefers the mage's current legal target, then nearest reachable enemy. If absent, the next personal active redeploys it, no sooner than 8 seconds after its last deployment. Maximum one; no refresh while alive. Ordinary heals do not target it.</x:v>
      </x:c>
    </x:row>
    <x:row r="36" ht="120" customHeight="1">
      <x:c r="A36" s="54" t="str">
        <x:v>MA2</x:v>
      </x:c>
      <x:c r="B36" s="54" t="str">
        <x:v>Fork A</x:v>
      </x:c>
      <x:c r="C36" s="58" t="str">
        <x:v>Targeting Array</x:v>
      </x:c>
      <x:c r="D36" s="54" t="str">
        <x:v>Your damaging actives mark their primary enemy for 3 seconds. Lens bolts against that enemy deal 25% more damage.</x:v>
      </x:c>
      <x:c r="E36" s="54" t="str">
        <x:v>Marked-target bonus becomes 40%.</x:v>
      </x:c>
      <x:c r="F36" s="54" t="str">
        <x:v>One marked enemy; a new valid primary target replaces it. A mark is a preference, not permission to ignore normal reach or formation. The modifier applies to scheduled bolt base damage, not Stored Equation or Grand Orrery bonuses.</x:v>
      </x:c>
    </x:row>
    <x:row r="37" ht="120" customHeight="1">
      <x:c r="A37" s="60" t="str">
        <x:v>MA3</x:v>
      </x:c>
      <x:c r="B37" s="60" t="str">
        <x:v>Fork B</x:v>
      </x:c>
      <x:c r="C37" s="61" t="str">
        <x:v>Prismatic Housing</x:v>
      </x:c>
      <x:c r="D37" s="60" t="str">
        <x:v>Increase Lens maximum HP by 25%; deploying it shields you for 2% H for 2 seconds.</x:v>
      </x:c>
      <x:c r="E37" s="60" t="str">
        <x:v>Lens HP increase becomes 50%; deployment shield becomes 4% H.</x:v>
      </x:c>
      <x:c r="F37" s="60" t="str">
        <x:v>HP multiplier applies only to Astral Lens's stated base HP. The deployment shield cannot deploy another Lens. This does not add owner defenses, dodge, or critical stats to the construct.</x:v>
      </x:c>
    </x:row>
    <x:row r="38" ht="120" customHeight="1">
      <x:c r="A38" s="54" t="str">
        <x:v>MA4</x:v>
      </x:c>
      <x:c r="B38" s="54" t="str">
        <x:v>Advanced</x:v>
      </x:c>
      <x:c r="C38" s="58" t="str">
        <x:v>Stored Equation</x:v>
      </x:c>
      <x:c r="D38" s="54" t="str">
        <x:v>Every second personal active resolved while the Lens lives charges its next scheduled bolt for +0.30 M.</x:v>
      </x:c>
      <x:c r="E38" s="54" t="str">
        <x:v>Charged bonus becomes 0.50 M.</x:v>
      </x:c>
      <x:c r="F38" s="54" t="str">
        <x:v>One stored charge; discard progress and charge on Lens destruction/expiry. Only scheduled bolts consume the charge. Casts counted during deployment begin after the new Lens exists; define deployment-cast resolution as its first count.</x:v>
      </x:c>
    </x:row>
    <x:row r="39" ht="120" customHeight="1">
      <x:c r="A39" s="64" t="str">
        <x:v>MA5</x:v>
      </x:c>
      <x:c r="B39" s="64" t="str">
        <x:v>Capstone</x:v>
      </x:c>
      <x:c r="C39" s="65" t="str">
        <x:v>Grand Orrery</x:v>
      </x:c>
      <x:c r="D39" s="60" t="str">
        <x:v>During each Lens deployment, the first personal active from each of your two core monsters commands one extra bolt: normal unmarked Lens bolt damage +0.25 M.</x:v>
      </x:c>
      <x:c r="E39" s="60" t="str">
        <x:v>One-rank capstone</x:v>
      </x:c>
      <x:c r="F39" s="60" t="str">
        <x:v>At most two extra bolts per deployment. A monster casts once for this purpose even if its skill has several targets or summons. Extra bolts cannot consume/store Equation, receive Targeting Array, or trigger any secondary talent. A command with no legal reachable target is lost.</x:v>
      </x:c>
    </x:row>
    <x:row r="40" ht="30" customHeight="1">
      <x:c r="A40" s="41" t="str">
        <x:v>TRADE-OFF: A destructible, fixed-position asset trades immediate spell power for scheduled output.</x:v>
      </x:c>
      <x:c r="B40" s="41"/>
      <x:c r="C40" s="41"/>
      <x:c r="D40" s="41"/>
      <x:c r="E40" s="41"/>
      <x:c r="F40" s="41"/>
    </x:row>
  </x:sheetData>
  <x:mergeCells>
    <x:mergeCell ref="A1:F2"/>
    <x:mergeCell ref="A3:F3"/>
    <x:mergeCell ref="A5:F5"/>
    <x:mergeCell ref="A6:F7"/>
    <x:mergeCell ref="A9:F9"/>
    <x:mergeCell ref="A10:F10"/>
    <x:mergeCell ref="A11:F11"/>
    <x:mergeCell ref="A18:F18"/>
    <x:mergeCell ref="A20:F20"/>
    <x:mergeCell ref="A21:F21"/>
    <x:mergeCell ref="A22:F22"/>
    <x:mergeCell ref="A29:F29"/>
    <x:mergeCell ref="A31:F31"/>
    <x:mergeCell ref="A32:F32"/>
    <x:mergeCell ref="A33:F33"/>
    <x:mergeCell ref="A40:F40"/>
  </x:mergeCells>
  <x:pageMargins left="0.7" right="0.7" top="0.75" bottom="0.75" header="0.3" footer="0.3"/>
</x:worksheet>
</file>

<file path=xl/worksheets/sheet3.xml><?xml version="1.0" encoding="utf-8"?>
<x:worksheet xmlns:x="http://schemas.openxmlformats.org/spreadsheetml/2006/main">
  <x:sheetFormatPr defaultRowHeight="15"/>
  <x:cols>
    <x:col min="1" max="1" width="9" hidden="0" customWidth="1"/>
    <x:col min="2" max="2" width="12" hidden="0" customWidth="1"/>
    <x:col min="3" max="3" width="25" hidden="0" customWidth="1"/>
    <x:col min="4" max="4" width="44" hidden="0" customWidth="1"/>
    <x:col min="5" max="5" width="31" hidden="0" customWidth="1"/>
    <x:col min="6" max="6" width="52" hidden="0" customWidth="1"/>
  </x:cols>
  <x:sheetData>
    <x:row r="1" ht="24" customHeight="1">
      <x:c r="A1" s="4" t="str">
        <x:v>DRUID</x:v>
      </x:c>
      <x:c r="B1" s="4"/>
      <x:c r="C1" s="4"/>
      <x:c r="D1" s="4"/>
      <x:c r="E1" s="4"/>
      <x:c r="F1" s="4"/>
    </x:row>
    <x:row r="2" ht="24" customHeight="1">
      <x:c r="A2" s="4"/>
      <x:c r="B2" s="4"/>
      <x:c r="C2" s="4"/>
      <x:c r="D2" s="4"/>
      <x:c r="E2" s="4"/>
      <x:c r="F2" s="4"/>
    </x:row>
    <x:row r="3" ht="35" customHeight="1">
      <x:c r="A3" s="9" t="str">
        <x:v>Support through seeds, protective thorns, or a living battlefield anchor rather than merely larger heal coefficients.</x:v>
      </x:c>
      <x:c r="B3" s="9"/>
      <x:c r="C3" s="9"/>
      <x:c r="D3" s="9"/>
      <x:c r="E3" s="9"/>
      <x:c r="F3" s="9"/>
    </x:row>
    <x:row r="5" ht="24" customHeight="1">
      <x:c r="A5" s="13" t="str">
        <x:v>FREE TRAIT  /  Living Sap</x:v>
      </x:c>
      <x:c r="B5" s="13"/>
      <x:c r="C5" s="13"/>
      <x:c r="D5" s="13"/>
      <x:c r="E5" s="13"/>
      <x:c r="F5" s="13"/>
    </x:row>
    <x:row r="6" ht="24" customHeight="1">
      <x:c r="A6" s="22" t="str">
        <x:v>A personal active gives the lowest-HP-percentage living core ally a recovery effect totaling 0.12 M over 2 seconds.  Tie-break toward the trainer, then the nearer monster. Tick twice at 1 and 2 seconds; refresh rather than stack on the same recipient. This is passive healing, so it does not generate Seeds, Briars or other primary-heal triggers.</x:v>
      </x:c>
      <x:c r="B6" s="22"/>
      <x:c r="C6" s="22"/>
      <x:c r="D6" s="22"/>
      <x:c r="E6" s="22"/>
      <x:c r="F6" s="22"/>
    </x:row>
    <x:row r="7" ht="24" customHeight="1">
      <x:c r="A7" s="22"/>
      <x:c r="B7" s="22"/>
      <x:c r="C7" s="22"/>
      <x:c r="D7" s="22"/>
      <x:c r="E7" s="22"/>
      <x:c r="F7" s="22"/>
    </x:row>
    <x:row r="9" ht="28" customHeight="1">
      <x:c r="A9" s="38" t="str">
        <x:v>LIFEBLOOM  /  9 points to complete</x:v>
      </x:c>
      <x:c r="B9" s="38"/>
      <x:c r="C9" s="38"/>
      <x:c r="D9" s="38"/>
      <x:c r="E9" s="38"/>
      <x:c r="F9" s="38"/>
    </x:row>
    <x:row r="10" ht="28" customHeight="1">
      <x:c r="A10" s="21" t="str">
        <x:v>Plant a delayed safety net, recover from successive hits, and make surplus primary healing useful.</x:v>
      </x:c>
      <x:c r="B10" s="21"/>
      <x:c r="C10" s="21"/>
      <x:c r="D10" s="21"/>
      <x:c r="E10" s="21"/>
      <x:c r="F10" s="21"/>
    </x:row>
    <x:row r="11" ht="28" customHeight="1">
      <x:c r="A11" s="41" t="str">
        <x:v>STATS: INT/MATK first, VIT/HP second; existing casting-speed stats only where your active cast system actually uses them.</x:v>
      </x:c>
      <x:c r="B11" s="41"/>
      <x:c r="C11" s="41"/>
      <x:c r="D11" s="41"/>
      <x:c r="E11" s="41"/>
      <x:c r="F11" s="41"/>
    </x:row>
    <x:row r="12" ht="30" customHeight="1">
      <x:c r="A12" s="47" t="str">
        <x:v>ID</x:v>
      </x:c>
      <x:c r="B12" s="47" t="str">
        <x:v>Tier</x:v>
      </x:c>
      <x:c r="C12" s="47" t="str">
        <x:v>Talent</x:v>
      </x:c>
      <x:c r="D12" s="47" t="str">
        <x:v>Rank 1</x:v>
      </x:c>
      <x:c r="E12" s="47" t="str">
        <x:v>Rank 2</x:v>
      </x:c>
      <x:c r="F12" s="47" t="str">
        <x:v>Resolution / limits</x:v>
      </x:c>
    </x:row>
    <x:row r="13" ht="120" customHeight="1">
      <x:c r="A13" s="60" t="str">
        <x:v>DL1</x:v>
      </x:c>
      <x:c r="B13" s="60" t="str">
        <x:v>Opening</x:v>
      </x:c>
      <x:c r="C13" s="61" t="str">
        <x:v>Mending Seed</x:v>
      </x:c>
      <x:c r="D13" s="60" t="str">
        <x:v>A personal primary heal plants a 4-second Seed. The recipient's next enemy hit that removes HP consumes it to heal 0.20 M afterward.</x:v>
      </x:c>
      <x:c r="E13" s="60" t="str">
        <x:v>Seed healing becomes 0.35 M.</x:v>
      </x:c>
      <x:c r="F13" s="60" t="str">
        <x:v>One Seed per ally, grant cooldown 2 seconds per recipient. For multi-target heals, plant only on the healed ally with the lowest HP percentage before the heal; trainer wins ties. Passive/periodic heals cannot plant. Heal after confirming survival. Reapplication refreshes, not stacks.</x:v>
      </x:c>
    </x:row>
    <x:row r="14" ht="120" customHeight="1">
      <x:c r="A14" s="54" t="str">
        <x:v>DL2</x:v>
      </x:c>
      <x:c r="B14" s="54" t="str">
        <x:v>Fork A</x:v>
      </x:c>
      <x:c r="C14" s="58" t="str">
        <x:v>Gentle Excess</x:v>
      </x:c>
      <x:c r="D14" s="54" t="str">
        <x:v>Convert 25% of overhealing from personal primary heals into a 3-second shield.</x:v>
      </x:c>
      <x:c r="E14" s="54" t="str">
        <x:v>Conversion becomes 40%.</x:v>
      </x:c>
      <x:c r="F14" s="54" t="str">
        <x:v>Cap this talent's shield per recipient at 6% of that recipient's maximum HP. Sum simultaneous primary heal components before determining overheal. Living Sap, Seeds and triggered/periodic recovery are excluded.</x:v>
      </x:c>
    </x:row>
    <x:row r="15" ht="120" customHeight="1">
      <x:c r="A15" s="60" t="str">
        <x:v>DL3</x:v>
      </x:c>
      <x:c r="B15" s="60" t="str">
        <x:v>Fork B</x:v>
      </x:c>
      <x:c r="C15" s="61" t="str">
        <x:v>Borrowed Spring</x:v>
      </x:c>
      <x:c r="D15" s="60" t="str">
        <x:v>When a Seed heals, also heal the most injured other core ally for 40% of the HP it actually restored.</x:v>
      </x:c>
      <x:c r="E15" s="60" t="str">
        <x:v>Shared healing becomes 60%.</x:v>
      </x:c>
      <x:c r="F15" s="60" t="str">
        <x:v>Use effective healing after the seed recipient's heal modifiers and HP cap. Do not apply outgoing or received-healing bonuses a second time to the copied amount. It can be reduced by a healing lock but cannot generate another Seed or another Borrowed Spring.</x:v>
      </x:c>
    </x:row>
    <x:row r="16" ht="120" customHeight="1">
      <x:c r="A16" s="54" t="str">
        <x:v>DL4</x:v>
      </x:c>
      <x:c r="B16" s="54" t="str">
        <x:v>Advanced</x:v>
      </x:c>
      <x:c r="C16" s="58" t="str">
        <x:v>Watchful Canopy</x:v>
      </x:c>
      <x:c r="D16" s="54" t="str">
        <x:v>Instead of its after-hit heal, a Seed can be consumed before a hit projected to remove at least 12% of its holder's maximum HP, reducing that pending HP damage by 10%.</x:v>
      </x:c>
      <x:c r="E16" s="54" t="str">
        <x:v>Reduction becomes 18%.</x:v>
      </x:c>
      <x:c r="F16" s="54" t="str">
        <x:v>Inspect damage after ordinary shields and mitigation, before interception and HP application. Consume the Seed once; it does not also heal. If this protection does not prevent lethal damage, death still resolves normally. Guarded Seed consumption may activate Perennial Heart only after survival.</x:v>
      </x:c>
    </x:row>
    <x:row r="17" ht="120" customHeight="1">
      <x:c r="A17" s="64" t="str">
        <x:v>DL5</x:v>
      </x:c>
      <x:c r="B17" s="64" t="str">
        <x:v>Capstone</x:v>
      </x:c>
      <x:c r="C17" s="65" t="str">
        <x:v>Perennial Heart</x:v>
      </x:c>
      <x:c r="D17" s="60" t="str">
        <x:v>The first Seed consumed on each core ally automatically replants one Greater Seed: its healing is 0.60 M + 3% H.</x:v>
      </x:c>
      <x:c r="E17" s="60" t="str">
        <x:v>One-rank capstone</x:v>
      </x:c>
      <x:c r="F17" s="60" t="str">
        <x:v>Once per ally per battle. Greater Seed lasts 4 seconds and obeys Seed consumption/protection rules, but cannot replant itself. A normal Seed cannot overwrite a live Greater Seed with a weaker one. This is not resurrection or a pre-death restore.</x:v>
      </x:c>
    </x:row>
    <x:row r="18" ht="30" customHeight="1">
      <x:c r="A18" s="41" t="str">
        <x:v>TRADE-OFF: Reactive healing only works on survivors. It cannot rescue the trainer from a lethal first hit.</x:v>
      </x:c>
      <x:c r="B18" s="41"/>
      <x:c r="C18" s="41"/>
      <x:c r="D18" s="41"/>
      <x:c r="E18" s="41"/>
      <x:c r="F18" s="41"/>
    </x:row>
    <x:row r="20" ht="28" customHeight="1">
      <x:c r="A20" s="38" t="str">
        <x:v>THORN COVENANT  /  9 points to complete</x:v>
      </x:c>
      <x:c r="B20" s="38"/>
      <x:c r="C20" s="38"/>
      <x:c r="D20" s="38"/>
      <x:c r="E20" s="38"/>
      <x:c r="F20" s="38"/>
    </x:row>
    <x:row r="21" ht="28" customHeight="1">
      <x:c r="A21" s="21" t="str">
        <x:v>Let support spells arm companions with retaliatory magic, without converting their base attack stat into INT.</x:v>
      </x:c>
      <x:c r="B21" s="21"/>
      <x:c r="C21" s="21"/>
      <x:c r="D21" s="21"/>
      <x:c r="E21" s="21"/>
      <x:c r="F21" s="21"/>
    </x:row>
    <x:row r="22" ht="28" customHeight="1">
      <x:c r="A22" s="41" t="str">
        <x:v>STATS: INT/MATK for thorn damage and barriers; VIT/HP improves the capstone's small recovery.</x:v>
      </x:c>
      <x:c r="B22" s="41"/>
      <x:c r="C22" s="41"/>
      <x:c r="D22" s="41"/>
      <x:c r="E22" s="41"/>
      <x:c r="F22" s="41"/>
    </x:row>
    <x:row r="23" ht="30" customHeight="1">
      <x:c r="A23" s="47" t="str">
        <x:v>ID</x:v>
      </x:c>
      <x:c r="B23" s="47" t="str">
        <x:v>Tier</x:v>
      </x:c>
      <x:c r="C23" s="47" t="str">
        <x:v>Talent</x:v>
      </x:c>
      <x:c r="D23" s="47" t="str">
        <x:v>Rank 1</x:v>
      </x:c>
      <x:c r="E23" s="47" t="str">
        <x:v>Rank 2</x:v>
      </x:c>
      <x:c r="F23" s="47" t="str">
        <x:v>Resolution / limits</x:v>
      </x:c>
    </x:row>
    <x:row r="24" ht="120" customHeight="1">
      <x:c r="A24" s="60" t="str">
        <x:v>DT1</x:v>
      </x:c>
      <x:c r="B24" s="60" t="str">
        <x:v>Opening</x:v>
      </x:c>
      <x:c r="C24" s="61" t="str">
        <x:v>Briar Gift</x:v>
      </x:c>
      <x:c r="D24" s="60" t="str">
        <x:v>A personal primary heal or shield grants its primary recipient two Briar charges for 4 seconds. Each adds 0.12 M magic damage to a landed primary basic or damaging active.</x:v>
      </x:c>
      <x:c r="E24" s="60" t="str">
        <x:v>Each charge deals 0.20 M.</x:v>
      </x:c>
      <x:c r="F24" s="60" t="str">
        <x:v>Core allies only; one grant recipient per cast. Two-charge cap; reapplication replenishes to two, not +two. A mixed heal-and-shield counts once. Charge-consumption limit 0.75 seconds per wearer. Thorn damage uses the druid's M and does not change a monster's attack base.</x:v>
      </x:c>
    </x:row>
    <x:row r="25" ht="120" customHeight="1">
      <x:c r="A25" s="54" t="str">
        <x:v>DT2</x:v>
      </x:c>
      <x:c r="B25" s="54" t="str">
        <x:v>Fork A</x:v>
      </x:c>
      <x:c r="C25" s="58" t="str">
        <x:v>Barbed Offering</x:v>
      </x:c>
      <x:c r="D25" s="54" t="str">
        <x:v>A wearer can instead consume a Briar when struck by a landed enemy basic attack, dealing 0.08 M magic damage back.</x:v>
      </x:c>
      <x:c r="E25" s="54" t="str">
        <x:v>Retaliation becomes 0.14 M.</x:v>
      </x:c>
      <x:c r="F25" s="54" t="str">
        <x:v>Requires enemy damage to remove shield HP or HP. Offensive and defensive uses share the same charges and 0.75-second wearer cooldown. Resolve only after wearer survival; no retaliation on the trainer's terminal death.</x:v>
      </x:c>
    </x:row>
    <x:row r="26" ht="120" customHeight="1">
      <x:c r="A26" s="60" t="str">
        <x:v>DT3</x:v>
      </x:c>
      <x:c r="B26" s="60" t="str">
        <x:v>Fork B</x:v>
      </x:c>
      <x:c r="C26" s="61" t="str">
        <x:v>Thornsilk</x:v>
      </x:c>
      <x:c r="D26" s="60" t="str">
        <x:v>Spending a Briar gives its wearer a 0.08 M shield for 2 seconds.</x:v>
      </x:c>
      <x:c r="E26" s="60" t="str">
        <x:v>Shield becomes 0.14 M.</x:v>
      </x:c>
      <x:c r="F26" s="60" t="str">
        <x:v>This talent's shields accumulate to at most 5% H on a wearer; refresh their duration. It is a passive shield and cannot grant Briar charges or trigger primary-shield effects.</x:v>
      </x:c>
    </x:row>
    <x:row r="27" ht="120" customHeight="1">
      <x:c r="A27" s="54" t="str">
        <x:v>DT4</x:v>
      </x:c>
      <x:c r="B27" s="54" t="str">
        <x:v>Advanced</x:v>
      </x:c>
      <x:c r="C27" s="58" t="str">
        <x:v>Sour Sap</x:v>
      </x:c>
      <x:c r="D27" s="54" t="str">
        <x:v>Thorn damage reduces the enemy's healing received by 10% for 3 seconds and weakens its next direct hit within that time by 5%.</x:v>
      </x:c>
      <x:c r="E27" s="54" t="str">
        <x:v>Healing penalty becomes 18%; next-hit reduction becomes 9%.</x:v>
      </x:c>
      <x:c r="F27" s="54" t="str">
        <x:v>Same-source reapplications refresh rather than stack. Only one primary direct hit consumes the damage penalty; it is not an indefinite reduction on every hit of a multi-hit skill. This retains utility against enemies with no healing.</x:v>
      </x:c>
    </x:row>
    <x:row r="28" ht="120" customHeight="1">
      <x:c r="A28" s="64" t="str">
        <x:v>DT5</x:v>
      </x:c>
      <x:c r="B28" s="64" t="str">
        <x:v>Capstone</x:v>
      </x:c>
      <x:c r="C28" s="65" t="str">
        <x:v>Crown of Brambles</x:v>
      </x:c>
      <x:c r="D28" s="60" t="str">
        <x:v>Briar Gift now replenishes to three charges. Spending a charge also heals its wearer for 1% H.</x:v>
      </x:c>
      <x:c r="E28" s="60" t="str">
        <x:v>One-rank capstone</x:v>
      </x:c>
      <x:c r="F28" s="60" t="str">
        <x:v>The healing has one party-shared 1-second cooldown; charges still use their ordinary per-wearer cooldown. It cannot plant a Seed or refill Briars. Use the druid's H, not the wearer's HP, and apply one normal healing-resolution pass.</x:v>
      </x:c>
    </x:row>
    <x:row r="29" ht="30" customHeight="1">
      <x:c r="A29" s="41" t="str">
        <x:v>TRADE-OFF: Relies on genuine personal heal/ward casts. The damage is a finite support payload, not permanent damage on every summon.</x:v>
      </x:c>
      <x:c r="B29" s="41"/>
      <x:c r="C29" s="41"/>
      <x:c r="D29" s="41"/>
      <x:c r="E29" s="41"/>
      <x:c r="F29" s="41"/>
    </x:row>
    <x:row r="31" ht="28" customHeight="1">
      <x:c r="A31" s="38" t="str">
        <x:v>GROVEKEEPER  /  9 points to complete</x:v>
      </x:c>
      <x:c r="B31" s="38"/>
      <x:c r="C31" s="38"/>
      <x:c r="D31" s="38"/>
      <x:c r="E31" s="38"/>
      <x:c r="F31" s="38"/>
    </x:row>
    <x:row r="32" ht="28" customHeight="1">
      <x:c r="A32" s="21" t="str">
        <x:v>Build a healing anchor, nurture selected temporary allies, then grow a finite bodyguard.</x:v>
      </x:c>
      <x:c r="B32" s="21"/>
      <x:c r="C32" s="21"/>
      <x:c r="D32" s="21"/>
      <x:c r="E32" s="21"/>
      <x:c r="F32" s="21"/>
    </x:row>
    <x:row r="33" ht="28" customHeight="1">
      <x:c r="A33" s="41" t="str">
        <x:v>STATS: INT/MATK for healing; VIT/HP for tree and bodyguard durability. STR and summon ASPD are unnecessary.</x:v>
      </x:c>
      <x:c r="B33" s="41"/>
      <x:c r="C33" s="41"/>
      <x:c r="D33" s="41"/>
      <x:c r="E33" s="41"/>
      <x:c r="F33" s="41"/>
    </x:row>
    <x:row r="34" ht="30" customHeight="1">
      <x:c r="A34" s="47" t="str">
        <x:v>ID</x:v>
      </x:c>
      <x:c r="B34" s="47" t="str">
        <x:v>Tier</x:v>
      </x:c>
      <x:c r="C34" s="47" t="str">
        <x:v>Talent</x:v>
      </x:c>
      <x:c r="D34" s="47" t="str">
        <x:v>Rank 1</x:v>
      </x:c>
      <x:c r="E34" s="47" t="str">
        <x:v>Rank 2</x:v>
      </x:c>
      <x:c r="F34" s="47" t="str">
        <x:v>Resolution / limits</x:v>
      </x:c>
    </x:row>
    <x:row r="35" ht="120" customHeight="1">
      <x:c r="A35" s="60" t="str">
        <x:v>DG1</x:v>
      </x:c>
      <x:c r="B35" s="60" t="str">
        <x:v>Opening</x:v>
      </x:c>
      <x:c r="C35" s="61" t="str">
        <x:v>Heartwood</x:v>
      </x:c>
      <x:c r="D35" s="60" t="str">
        <x:v>Start with one 8-second Heartwood Totem at a legal point near the frontmost core ally: 12% H HP. At seconds 1, 3, 5 and 7, heal one injured core ally in 3R for 0.15 M.</x:v>
      </x:c>
      <x:c r="E35" s="60" t="str">
        <x:v>Pulse healing becomes 0.25 M.</x:v>
      </x:c>
      <x:c r="F35" s="60" t="str">
        <x:v>Maximum one; one shared heal per pulse, not one per ally. If absent, the next personal active redeploys it no sooner than 10 seconds after last deployment. Cannot move or refresh an existing tree. The druid's death removes it. Ordinary healing does not select it.</x:v>
      </x:c>
    </x:row>
    <x:row r="36" ht="120" customHeight="1">
      <x:c r="A36" s="54" t="str">
        <x:v>DG2</x:v>
      </x:c>
      <x:c r="B36" s="54" t="str">
        <x:v>Fork A</x:v>
      </x:c>
      <x:c r="C36" s="58" t="str">
        <x:v>Nurse Roots</x:v>
      </x:c>
      <x:c r="D36" s="54" t="str">
        <x:v>Each Heartwood pulse may also repair one injured allied summon or structure in range for 0.5% H.</x:v>
      </x:c>
      <x:c r="E36" s="54" t="str">
        <x:v>Repair becomes 1% H.</x:v>
      </x:c>
      <x:c r="F36" s="54" t="str">
        <x:v>One target per pulse; exclude Heartwood itself and other Heartwood Totems. Respect target's original max HP and lifetime. No resurrection, duration reset, proc generation or repair loops. This is an explicit exception to ordinary core-only healing.</x:v>
      </x:c>
    </x:row>
    <x:row r="37" ht="120" customHeight="1">
      <x:c r="A37" s="60" t="str">
        <x:v>DG3</x:v>
      </x:c>
      <x:c r="B37" s="60" t="str">
        <x:v>Fork B</x:v>
      </x:c>
      <x:c r="C37" s="61" t="str">
        <x:v>Sheltering Bough</x:v>
      </x:c>
      <x:c r="D37" s="60" t="str">
        <x:v>Deploying Heartwood shields you and the lowest-HP-percentage other core ally for 0.20 M + 1% H each, lasting 3 seconds.</x:v>
      </x:c>
      <x:c r="E37" s="60" t="str">
        <x:v>Each shield becomes 0.35 M + 1% H.</x:v>
      </x:c>
      <x:c r="F37" s="60" t="str">
        <x:v>Exactly two distinct core allies when another is alive. Deployment shields are passive; they cannot grant Seeds or Briars. A failed/blocked placement must use a nearby legal location rather than duplicate a tree.</x:v>
      </x:c>
    </x:row>
    <x:row r="38" ht="120" customHeight="1">
      <x:c r="A38" s="54" t="str">
        <x:v>DG4</x:v>
      </x:c>
      <x:c r="B38" s="54" t="str">
        <x:v>Advanced</x:v>
      </x:c>
      <x:c r="C38" s="58" t="str">
        <x:v>Wild Grafting</x:v>
      </x:c>
      <x:c r="D38" s="54" t="str">
        <x:v>A personal primary heal or shield while Heartwood lives adds 0.12 M to its next healing pulse.</x:v>
      </x:c>
      <x:c r="E38" s="54" t="str">
        <x:v>Stored healing becomes 0.22 M.</x:v>
      </x:c>
      <x:c r="F38" s="54" t="str">
        <x:v>One charge, refreshed but not stacked. If no injured eligible core ally is in range, the pulse does not spend the healing charge. Clear it on tree destruction or expiry. Do not count the tree's own pulses as personal casts.</x:v>
      </x:c>
    </x:row>
    <x:row r="39" ht="120" customHeight="1">
      <x:c r="A39" s="64" t="str">
        <x:v>DG5</x:v>
      </x:c>
      <x:c r="B39" s="64" t="str">
        <x:v>Capstone</x:v>
      </x:c>
      <x:c r="C39" s="65" t="str">
        <x:v>Forest Warden</x:v>
      </x:c>
      <x:c r="D39" s="60" t="str">
        <x:v>Each Heartwood deployment also grows one rooted Barkling beside the frontmost core ally: 8% H HP, a 0.20 M magic melee attack every 2 seconds, and 20% interception of that ally's direct single-target damage.</x:v>
      </x:c>
      <x:c r="E39" s="60" t="str">
        <x:v>One-rank capstone</x:v>
      </x:c>
      <x:c r="F39" s="60" t="str">
        <x:v>One Barkling, first attack after 1 second if an enemy is legally reachable. Its total life ends with Heartwood; killing the tree destroys it. Interception is limited by remaining Barkling HP, bypassed by AoE, and cannot stack with another interceptor or reapply mitigation. It does not chase. Nurse Roots may repair it without extending life.</x:v>
      </x:c>
    </x:row>
    <x:row r="40" ht="30" customHeight="1">
      <x:c r="A40" s="41" t="str">
        <x:v>TRADE-OFF: The tree is stationary and destructible. Losing it also removes the branch's dependent bodyguard.</x:v>
      </x:c>
      <x:c r="B40" s="41"/>
      <x:c r="C40" s="41"/>
      <x:c r="D40" s="41"/>
      <x:c r="E40" s="41"/>
      <x:c r="F40" s="41"/>
    </x:row>
  </x:sheetData>
  <x:mergeCells>
    <x:mergeCell ref="A1:F2"/>
    <x:mergeCell ref="A3:F3"/>
    <x:mergeCell ref="A5:F5"/>
    <x:mergeCell ref="A6:F7"/>
    <x:mergeCell ref="A9:F9"/>
    <x:mergeCell ref="A10:F10"/>
    <x:mergeCell ref="A11:F11"/>
    <x:mergeCell ref="A18:F18"/>
    <x:mergeCell ref="A20:F20"/>
    <x:mergeCell ref="A21:F21"/>
    <x:mergeCell ref="A22:F22"/>
    <x:mergeCell ref="A29:F29"/>
    <x:mergeCell ref="A31:F31"/>
    <x:mergeCell ref="A32:F32"/>
    <x:mergeCell ref="A33:F33"/>
    <x:mergeCell ref="A40:F40"/>
  </x:mergeCells>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12" hidden="0" customWidth="1"/>
    <x:col min="3" max="3" width="25" hidden="0" customWidth="1"/>
    <x:col min="4" max="4" width="44" hidden="0" customWidth="1"/>
    <x:col min="5" max="5" width="31" hidden="0" customWidth="1"/>
    <x:col min="6" max="6" width="52" hidden="0" customWidth="1"/>
  </x:cols>
  <x:sheetData>
    <x:row r="1" ht="24" customHeight="1">
      <x:c r="A1" s="4" t="str">
        <x:v>KNIGHT</x:v>
      </x:c>
      <x:c r="B1" s="4"/>
      <x:c r="C1" s="4"/>
      <x:c r="D1" s="4"/>
      <x:c r="E1" s="4"/>
      <x:c r="F1" s="4"/>
    </x:row>
    <x:row r="2" ht="24" customHeight="1">
      <x:c r="A2" s="4"/>
      <x:c r="B2" s="4"/>
      <x:c r="C2" s="4"/>
      <x:c r="D2" s="4"/>
      <x:c r="E2" s="4"/>
      <x:c r="F2" s="4"/>
    </x:row>
    <x:row r="3" ht="35" customHeight="1">
      <x:c r="A3" s="9" t="str">
        <x:v>A front-line trainer must survive while contributing through personal defense, counterpressure, or command.</x:v>
      </x:c>
      <x:c r="B3" s="9"/>
      <x:c r="C3" s="9"/>
      <x:c r="D3" s="9"/>
      <x:c r="E3" s="9"/>
      <x:c r="F3" s="9"/>
    </x:row>
    <x:row r="5" ht="24" customHeight="1">
      <x:c r="A5" s="13" t="str">
        <x:v>FREE TRAIT  /  Guard Memory</x:v>
      </x:c>
      <x:c r="B5" s="13"/>
      <x:c r="C5" s="13"/>
      <x:c r="D5" s="13"/>
      <x:c r="E5" s="13"/>
      <x:c r="F5" s="13"/>
    </x:row>
    <x:row r="6" ht="24" customHeight="1">
      <x:c r="A6" s="22" t="str">
        <x:v>After a personal active resolves, the next enemy direct hit against you within 2 seconds deals 8% less damage.  One guard, not stackable. Expiry removes it. Apply prospectively to one primary hit; it does not undo damage or protect against Stagger-debt ticks.</x:v>
      </x:c>
      <x:c r="B6" s="22"/>
      <x:c r="C6" s="22"/>
      <x:c r="D6" s="22"/>
      <x:c r="E6" s="22"/>
      <x:c r="F6" s="22"/>
    </x:row>
    <x:row r="7" ht="24" customHeight="1">
      <x:c r="A7" s="22"/>
      <x:c r="B7" s="22"/>
      <x:c r="C7" s="22"/>
      <x:c r="D7" s="22"/>
      <x:c r="E7" s="22"/>
      <x:c r="F7" s="22"/>
    </x:row>
    <x:row r="9" ht="28" customHeight="1">
      <x:c r="A9" s="38" t="str">
        <x:v>BASTION  /  9 points to complete</x:v>
      </x:c>
      <x:c r="B9" s="38"/>
      <x:c r="C9" s="38"/>
      <x:c r="D9" s="38"/>
      <x:c r="E9" s="38"/>
      <x:c r="F9" s="38"/>
    </x:row>
    <x:row r="10" ht="28" customHeight="1">
      <x:c r="A10" s="21" t="str">
        <x:v>Turn dangerous spikes into a survivable recovery window rather than granting a second life.</x:v>
      </x:c>
      <x:c r="B10" s="21"/>
      <x:c r="C10" s="21"/>
      <x:c r="D10" s="21"/>
      <x:c r="E10" s="21"/>
      <x:c r="F10" s="21"/>
    </x:row>
    <x:row r="11" ht="28" customHeight="1">
      <x:c r="A11" s="41" t="str">
        <x:v>STATS: VIT/HP and defenses first, then enough STR/ATK to avoid becoming irrelevant.</x:v>
      </x:c>
      <x:c r="B11" s="41"/>
      <x:c r="C11" s="41"/>
      <x:c r="D11" s="41"/>
      <x:c r="E11" s="41"/>
      <x:c r="F11" s="41"/>
    </x:row>
    <x:row r="12" ht="30" customHeight="1">
      <x:c r="A12" s="47" t="str">
        <x:v>ID</x:v>
      </x:c>
      <x:c r="B12" s="47" t="str">
        <x:v>Tier</x:v>
      </x:c>
      <x:c r="C12" s="47" t="str">
        <x:v>Talent</x:v>
      </x:c>
      <x:c r="D12" s="47" t="str">
        <x:v>Rank 1</x:v>
      </x:c>
      <x:c r="E12" s="47" t="str">
        <x:v>Rank 2</x:v>
      </x:c>
      <x:c r="F12" s="47" t="str">
        <x:v>Resolution / limits</x:v>
      </x:c>
    </x:row>
    <x:row r="13" ht="120" customHeight="1">
      <x:c r="A13" s="60" t="str">
        <x:v>KB1</x:v>
      </x:c>
      <x:c r="B13" s="60" t="str">
        <x:v>Opening</x:v>
      </x:c>
      <x:c r="C13" s="61" t="str">
        <x:v>Layered Guard</x:v>
      </x:c>
      <x:c r="D13" s="60" t="str">
        <x:v>Every personal active adds a 3-second self-shield equal to 2% H.</x:v>
      </x:c>
      <x:c r="E13" s="60" t="str">
        <x:v>Shield grant becomes 3.5% H.</x:v>
      </x:c>
      <x:c r="F13" s="60" t="str">
        <x:v>This talent's pool accumulates to at most 8% H; new grants refresh its duration. One application per actual equipped-skill cast.</x:v>
      </x:c>
    </x:row>
    <x:row r="14" ht="120" customHeight="1">
      <x:c r="A14" s="54" t="str">
        <x:v>KB2</x:v>
      </x:c>
      <x:c r="B14" s="54" t="str">
        <x:v>Fork A</x:v>
      </x:c>
      <x:c r="C14" s="58" t="str">
        <x:v>Measured Blow</x:v>
      </x:c>
      <x:c r="D14" s="54" t="str">
        <x:v>At battle start, and after a defensive personal active, reduce the next direct enemy hit within 3 seconds by 12%.</x:v>
      </x:c>
      <x:c r="E14" s="54" t="str">
        <x:v>Reduction becomes 20%.</x:v>
      </x:c>
      <x:c r="F14" s="54" t="str">
        <x:v>One charge and a shared 4-second grant cooldown. A defensive active has a primary self-heal, self-shield, guard or incoming-damage-reduction component. Multiple mitigation effects multiply; they are not added into immunity.</x:v>
      </x:c>
    </x:row>
    <x:row r="15" ht="120" customHeight="1">
      <x:c r="A15" s="60" t="str">
        <x:v>KB3</x:v>
      </x:c>
      <x:c r="B15" s="60" t="str">
        <x:v>Fork B</x:v>
      </x:c>
      <x:c r="C15" s="61" t="str">
        <x:v>Shieldwall</x:v>
      </x:c>
      <x:c r="D15" s="60" t="str">
        <x:v>While you have an ordinary personal shield, your two core monsters take 5% less direct damage.</x:v>
      </x:c>
      <x:c r="E15" s="60" t="str">
        <x:v>Reduction becomes 9%.</x:v>
      </x:c>
      <x:c r="F15" s="60" t="str">
        <x:v>The knight does not receive this aura's reduction. Summons, structures and shared party-barrier pools are not eligible bearers/qualifying personal shields. Check the knight's shield state when each hit resolves.</x:v>
      </x:c>
    </x:row>
    <x:row r="16" ht="120" customHeight="1">
      <x:c r="A16" s="54" t="str">
        <x:v>KB4</x:v>
      </x:c>
      <x:c r="B16" s="54" t="str">
        <x:v>Advanced</x:v>
      </x:c>
      <x:c r="C16" s="58" t="str">
        <x:v>Bent, Not Broken</x:v>
      </x:c>
      <x:c r="D16" s="54" t="str">
        <x:v>Defer 12% of post-mitigation, post-shield direct HP damage into Stagger debt, paid over 3 seconds.</x:v>
      </x:c>
      <x:c r="E16" s="54" t="str">
        <x:v>Deferred share becomes 20%.</x:v>
      </x:c>
      <x:c r="F16" s="54" t="str">
        <x:v>Apply after any single eligible interceptor. Outstanding debt capped at 20% H; any excess stays immediate. Debt pays in fixed ticks, cannot be mitigated/redirected/shielded again, and creates no on-hit, counter or low-HP emergency procs. Ordinary HP death still applies to its ticks. Existing debt timing cannot be postponed by adding debt.</x:v>
      </x:c>
    </x:row>
    <x:row r="17" ht="120" customHeight="1">
      <x:c r="A17" s="64" t="str">
        <x:v>KB5</x:v>
      </x:c>
      <x:c r="B17" s="64" t="str">
        <x:v>Capstone</x:v>
      </x:c>
      <x:c r="C17" s="65" t="str">
        <x:v>Citadel Heart</x:v>
      </x:c>
      <x:c r="D17" s="60" t="str">
        <x:v>Effective healing you receive additionally removes Stagger debt equal to 25% of the HP actually restored.</x:v>
      </x:c>
      <x:c r="E17" s="60" t="str">
        <x:v>One-rank capstone</x:v>
      </x:c>
      <x:c r="F17" s="60" t="str">
        <x:v>Debt removal is not healing and produces no further proc. Overhealing does not remove debt. If no debt exists, the bonus is lost rather than converted into a shield. Never act after a lethal hit or debt tick.</x:v>
      </x:c>
    </x:row>
    <x:row r="18" ht="30" customHeight="1">
      <x:c r="A18" s="41" t="str">
        <x:v>TRADE-OFF: Smooths damage rather than deleting all of it. Sustained pressure and insufficient healing still defeat the knight.</x:v>
      </x:c>
      <x:c r="B18" s="41"/>
      <x:c r="C18" s="41"/>
      <x:c r="D18" s="41"/>
      <x:c r="E18" s="41"/>
      <x:c r="F18" s="41"/>
    </x:row>
    <x:row r="20" ht="28" customHeight="1">
      <x:c r="A20" s="38" t="str">
        <x:v>IRON REPRISAL  /  9 points to complete</x:v>
      </x:c>
      <x:c r="B20" s="38"/>
      <x:c r="C20" s="38"/>
      <x:c r="D20" s="38"/>
      <x:c r="E20" s="38"/>
      <x:c r="F20" s="38"/>
    </x:row>
    <x:row r="21" ht="28" customHeight="1">
      <x:c r="A21" s="21" t="str">
        <x:v>Earn limited counterstrikes by fighting or taking real pressure, then sustain through the exchange.</x:v>
      </x:c>
      <x:c r="B21" s="21"/>
      <x:c r="C21" s="21"/>
      <x:c r="D21" s="21"/>
      <x:c r="E21" s="21"/>
      <x:c r="F21" s="21"/>
    </x:row>
    <x:row r="22" ht="28" customHeight="1">
      <x:c r="A22" s="41" t="str">
        <x:v>STATS: STR/ATK, VIT/HP and sufficient HIT. AGI helps deliver prepared counters but does not generate Resolve by itself.</x:v>
      </x:c>
      <x:c r="B22" s="41"/>
      <x:c r="C22" s="41"/>
      <x:c r="D22" s="41"/>
      <x:c r="E22" s="41"/>
      <x:c r="F22" s="41"/>
    </x:row>
    <x:row r="23" ht="30" customHeight="1">
      <x:c r="A23" s="47" t="str">
        <x:v>ID</x:v>
      </x:c>
      <x:c r="B23" s="47" t="str">
        <x:v>Tier</x:v>
      </x:c>
      <x:c r="C23" s="47" t="str">
        <x:v>Talent</x:v>
      </x:c>
      <x:c r="D23" s="47" t="str">
        <x:v>Rank 1</x:v>
      </x:c>
      <x:c r="E23" s="47" t="str">
        <x:v>Rank 2</x:v>
      </x:c>
      <x:c r="F23" s="47" t="str">
        <x:v>Resolution / limits</x:v>
      </x:c>
    </x:row>
    <x:row r="24" ht="120" customHeight="1">
      <x:c r="A24" s="60" t="str">
        <x:v>KR1</x:v>
      </x:c>
      <x:c r="B24" s="60" t="str">
        <x:v>Opening</x:v>
      </x:c>
      <x:c r="C24" s="61" t="str">
        <x:v>Reprisal</x:v>
      </x:c>
      <x:c r="D24" s="60" t="str">
        <x:v>Start with one Resolve. A personal active or enemy direct hit that damages you/your shield grants one, up to three. At three, your next landed basic spends them for +0.30 A physical damage.</x:v>
      </x:c>
      <x:c r="E24" s="60" t="str">
        <x:v>Counter bonus becomes 0.50 A.</x:v>
      </x:c>
      <x:c r="F24" s="60" t="str">
        <x:v>All Resolve gains share a 1-second cooldown. Intercepted damage that causes neither shield nor HP loss cannot grant it. Stagger debt and passive damage are excluded. Consume only on a landed personal basic; one counter packet, not a new basic action.</x:v>
      </x:c>
    </x:row>
    <x:row r="25" ht="120" customHeight="1">
      <x:c r="A25" s="54" t="str">
        <x:v>KR2</x:v>
      </x:c>
      <x:c r="B25" s="54" t="str">
        <x:v>Fork A</x:v>
      </x:c>
      <x:c r="C25" s="58" t="str">
        <x:v>Iron Appetite</x:v>
      </x:c>
      <x:c r="D25" s="54" t="str">
        <x:v>A Reprisal bonus heals you for 10% of the actual damage that bonus dealt.</x:v>
      </x:c>
      <x:c r="E25" s="54" t="str">
        <x:v>Healing becomes 18%.</x:v>
      </x:c>
      <x:c r="F25" s="54" t="str">
        <x:v>Healing capped at 2% H per counter. Use only Reprisal's primary-target bonus damage, not the underlying basic or capstone splash. Resolve after target damage and while the knight lives.</x:v>
      </x:c>
    </x:row>
    <x:row r="26" ht="120" customHeight="1">
      <x:c r="A26" s="60" t="str">
        <x:v>KR3</x:v>
      </x:c>
      <x:c r="B26" s="60" t="str">
        <x:v>Fork B</x:v>
      </x:c>
      <x:c r="C26" s="61" t="str">
        <x:v>Duelist's Claim</x:v>
      </x:c>
      <x:c r="D26" s="60" t="str">
        <x:v>Reprisal makes its enemy deal 6% less basic-attack damage for 2 seconds.</x:v>
      </x:c>
      <x:c r="E26" s="60" t="str">
        <x:v>Reduction becomes 10%.</x:v>
      </x:c>
      <x:c r="F26" s="60" t="str">
        <x:v>Apply once to the primary counter target. Refresh, do not stack. This does not weaken its spells or all active skills, leaving caster matchups distinct.</x:v>
      </x:c>
    </x:row>
    <x:row r="27" ht="120" customHeight="1">
      <x:c r="A27" s="54" t="str">
        <x:v>KR4</x:v>
      </x:c>
      <x:c r="B27" s="54" t="str">
        <x:v>Advanced</x:v>
      </x:c>
      <x:c r="C27" s="58" t="str">
        <x:v>Red Ledger</x:v>
      </x:c>
      <x:c r="D27" s="54" t="str">
        <x:v>Reprisal primes your next damaging active within 4 seconds for +0.25 A physical damage.</x:v>
      </x:c>
      <x:c r="E27" s="54" t="str">
        <x:v>Primed bonus becomes 0.45 A.</x:v>
      </x:c>
      <x:c r="F27" s="54" t="str">
        <x:v>One charge. It adds a primary-target secondary packet rather than multiplying every hit. Consuming it does not itself grant Resolve; the underlying real active can grant Resolve normally.</x:v>
      </x:c>
    </x:row>
    <x:row r="28" ht="120" customHeight="1">
      <x:c r="A28" s="64" t="str">
        <x:v>KR5</x:v>
      </x:c>
      <x:c r="B28" s="64" t="str">
        <x:v>Capstone</x:v>
      </x:c>
      <x:c r="C28" s="65" t="str">
        <x:v>King's Answer</x:v>
      </x:c>
      <x:c r="D28" s="60" t="str">
        <x:v>Reprisal also gives a 4% H self-shield for 2 seconds and splashes 35% of its counter bonus onto up to two other enemies within 1.5R of the primary target.</x:v>
      </x:c>
      <x:c r="E28" s="60" t="str">
        <x:v>One-rank capstone</x:v>
      </x:c>
      <x:c r="F28" s="60" t="str">
        <x:v>Shield is granted once per counter. Splash does not carry Iron Appetite, Duelist's Claim, Red Ledger or additional Reprisal triggers. Missing secondary targets do not increase boss damage.</x:v>
      </x:c>
    </x:row>
    <x:row r="29" ht="30" customHeight="1">
      <x:c r="A29" s="41" t="str">
        <x:v>TRADE-OFF: Counter power still requires survival and landed basics. Long periods of disarm or unreliable accuracy delay its payoff.</x:v>
      </x:c>
      <x:c r="B29" s="41"/>
      <x:c r="C29" s="41"/>
      <x:c r="D29" s="41"/>
      <x:c r="E29" s="41"/>
      <x:c r="F29" s="41"/>
    </x:row>
    <x:row r="31" ht="28" customHeight="1">
      <x:c r="A31" s="38" t="str">
        <x:v>BANNERLORD  /  9 points to complete</x:v>
      </x:c>
      <x:c r="B31" s="38"/>
      <x:c r="C31" s="38"/>
      <x:c r="D31" s="38"/>
      <x:c r="E31" s="38"/>
      <x:c r="F31" s="38"/>
    </x:row>
    <x:row r="32" ht="28" customHeight="1">
      <x:c r="A32" s="21" t="str">
        <x:v>Make a durable trainer the timing anchor for two fixed-growth companions.</x:v>
      </x:c>
      <x:c r="B32" s="21"/>
      <x:c r="C32" s="21"/>
      <x:c r="D32" s="21"/>
      <x:c r="E32" s="21"/>
      <x:c r="F32" s="21"/>
    </x:row>
    <x:row r="33" ht="28" customHeight="1">
      <x:c r="A33" s="41" t="str">
        <x:v>STATS: VIT/HP and STR/ATK. HIT helps complete coordinated attacks; do not neglect survival to maximize aura output.</x:v>
      </x:c>
      <x:c r="B33" s="41"/>
      <x:c r="C33" s="41"/>
      <x:c r="D33" s="41"/>
      <x:c r="E33" s="41"/>
      <x:c r="F33" s="41"/>
    </x:row>
    <x:row r="34" ht="30" customHeight="1">
      <x:c r="A34" s="47" t="str">
        <x:v>ID</x:v>
      </x:c>
      <x:c r="B34" s="47" t="str">
        <x:v>Tier</x:v>
      </x:c>
      <x:c r="C34" s="47" t="str">
        <x:v>Talent</x:v>
      </x:c>
      <x:c r="D34" s="47" t="str">
        <x:v>Rank 1</x:v>
      </x:c>
      <x:c r="E34" s="47" t="str">
        <x:v>Rank 2</x:v>
      </x:c>
      <x:c r="F34" s="47" t="str">
        <x:v>Resolution / limits</x:v>
      </x:c>
    </x:row>
    <x:row r="35" ht="120" customHeight="1">
      <x:c r="A35" s="60" t="str">
        <x:v>KN1</x:v>
      </x:c>
      <x:c r="B35" s="60" t="str">
        <x:v>Opening</x:v>
      </x:c>
      <x:c r="C35" s="61" t="str">
        <x:v>Rallying Standard</x:v>
      </x:c>
      <x:c r="D35" s="60" t="str">
        <x:v>A personal active primes each living core ally's next basic within 4 seconds to deal 8% more primary damage.</x:v>
      </x:c>
      <x:c r="E35" s="60" t="str">
        <x:v>Basic enhancement becomes 14%.</x:v>
      </x:c>
      <x:c r="F35" s="60" t="str">
        <x:v>One charge per core ally, not stackable; party grant cooldown 2 seconds. Uses each unit's own normal damage type and primary stat. Summons and structures are excluded.</x:v>
      </x:c>
    </x:row>
    <x:row r="36" ht="120" customHeight="1">
      <x:c r="A36" s="54" t="str">
        <x:v>KN2</x:v>
      </x:c>
      <x:c r="B36" s="54" t="str">
        <x:v>Fork A</x:v>
      </x:c>
      <x:c r="C36" s="58" t="str">
        <x:v>Shared Vanguard</x:v>
      </x:c>
      <x:c r="D36" s="54" t="str">
        <x:v>Core monsters attacking your current enemy gain +12 HIT.</x:v>
      </x:c>
      <x:c r="E36" s="54" t="str">
        <x:v>Accuracy bonus becomes +20 HIT.</x:v>
      </x:c>
      <x:c r="F36" s="54" t="str">
        <x:v>Applies only against the knight's current legal target. It does not force retargeting or let a melee companion attack through an unreachable position.</x:v>
      </x:c>
    </x:row>
    <x:row r="37" ht="120" customHeight="1">
      <x:c r="A37" s="60" t="str">
        <x:v>KN3</x:v>
      </x:c>
      <x:c r="B37" s="60" t="str">
        <x:v>Fork B</x:v>
      </x:c>
      <x:c r="C37" s="61" t="str">
        <x:v>Shielded March</x:v>
      </x:c>
      <x:c r="D37" s="60" t="str">
        <x:v>A defensive personal active shields each living core monster for 1.5% H for 2 seconds.</x:v>
      </x:c>
      <x:c r="E37" s="60" t="str">
        <x:v>Each shield becomes 2.5% H.</x:v>
      </x:c>
      <x:c r="F37" s="60" t="str">
        <x:v>Uses the knight's H. Same defensive-active tags as Measured Blow. No grant to the trainer or temporary entities; each cast is at most one grant per eligible monster.</x:v>
      </x:c>
    </x:row>
    <x:row r="38" ht="120" customHeight="1">
      <x:c r="A38" s="54" t="str">
        <x:v>KN4</x:v>
      </x:c>
      <x:c r="B38" s="54" t="str">
        <x:v>Advanced</x:v>
      </x:c>
      <x:c r="C38" s="58" t="str">
        <x:v>Call and Answer</x:v>
      </x:c>
      <x:c r="D38" s="54" t="str">
        <x:v>Every three core-monster personal active casts prime your next damaging active within 4 seconds for +0.30 A physical damage.</x:v>
      </x:c>
      <x:c r="E38" s="54" t="str">
        <x:v>Bonus becomes 0.50 A.</x:v>
      </x:c>
      <x:c r="F38" s="54" t="str">
        <x:v>Shared tally across the two core monsters with a 0.75-second count cooldown; maximum one primed charge. Summon actions, pulses and passive echoes do not count. Counts are discarded while a charge waits.</x:v>
      </x:c>
    </x:row>
    <x:row r="39" ht="120" customHeight="1">
      <x:c r="A39" s="64" t="str">
        <x:v>KN5</x:v>
      </x:c>
      <x:c r="B39" s="64" t="str">
        <x:v>Capstone</x:v>
      </x:c>
      <x:c r="C39" s="65" t="str">
        <x:v>Banner of Three</x:v>
      </x:c>
      <x:c r="D39" s="60" t="str">
        <x:v>When the trainer and both core monsters land primary hits on the same enemy within 3 seconds, strike it for 0.70 A + 0.15 P1 + 0.15 P2 physical damage.</x:v>
      </x:c>
      <x:c r="E39" s="60" t="str">
        <x:v>One-rank capstone</x:v>
      </x:c>
      <x:c r="F39" s="60" t="str">
        <x:v>4-second global cooldown. P1/P2 are each core monster's declared primary attack stat (ATK for STR/DEX attackers, MATK for INT attackers), never whichever stat is higher. One contribution per core unit. Reset the three-unit record after triggering; passive hits cannot fill it. A dead or out-of-reach companion cannot contribute.</x:v>
      </x:c>
    </x:row>
    <x:row r="40" ht="30" customHeight="1">
      <x:c r="A40" s="41" t="str">
        <x:v>TRADE-OFF: Needs companions that can participate from their deployed positions. It grants no automatic backline access.</x:v>
      </x:c>
      <x:c r="B40" s="41"/>
      <x:c r="C40" s="41"/>
      <x:c r="D40" s="41"/>
      <x:c r="E40" s="41"/>
      <x:c r="F40" s="41"/>
    </x:row>
  </x:sheetData>
  <x:mergeCells>
    <x:mergeCell ref="A1:F2"/>
    <x:mergeCell ref="A3:F3"/>
    <x:mergeCell ref="A5:F5"/>
    <x:mergeCell ref="A6:F7"/>
    <x:mergeCell ref="A9:F9"/>
    <x:mergeCell ref="A10:F10"/>
    <x:mergeCell ref="A11:F11"/>
    <x:mergeCell ref="A18:F18"/>
    <x:mergeCell ref="A20:F20"/>
    <x:mergeCell ref="A21:F21"/>
    <x:mergeCell ref="A22:F22"/>
    <x:mergeCell ref="A29:F29"/>
    <x:mergeCell ref="A31:F31"/>
    <x:mergeCell ref="A32:F32"/>
    <x:mergeCell ref="A33:F33"/>
    <x:mergeCell ref="A40:F40"/>
  </x:mergeCells>
  <x:pageMargins left="0.7" right="0.7" top="0.75" bottom="0.75" header="0.3" footer="0.3"/>
</x:worksheet>
</file>

<file path=xl/worksheets/sheet5.xml><?xml version="1.0" encoding="utf-8"?>
<x:worksheet xmlns:x="http://schemas.openxmlformats.org/spreadsheetml/2006/main">
  <x:sheetFormatPr defaultRowHeight="15"/>
  <x:cols>
    <x:col min="1" max="1" width="9" hidden="0" customWidth="1"/>
    <x:col min="2" max="2" width="12" hidden="0" customWidth="1"/>
    <x:col min="3" max="3" width="25" hidden="0" customWidth="1"/>
    <x:col min="4" max="4" width="44" hidden="0" customWidth="1"/>
    <x:col min="5" max="5" width="31" hidden="0" customWidth="1"/>
    <x:col min="6" max="6" width="52" hidden="0" customWidth="1"/>
  </x:cols>
  <x:sheetData>
    <x:row r="1" ht="24" customHeight="1">
      <x:c r="A1" s="4" t="str">
        <x:v>HUNTER</x:v>
      </x:c>
      <x:c r="B1" s="4"/>
      <x:c r="C1" s="4"/>
      <x:c r="D1" s="4"/>
      <x:c r="E1" s="4"/>
      <x:c r="F1" s="4"/>
    </x:row>
    <x:row r="2" ht="24" customHeight="1">
      <x:c r="A2" s="4"/>
      <x:c r="B2" s="4"/>
      <x:c r="C2" s="4"/>
      <x:c r="D2" s="4"/>
      <x:c r="E2" s="4"/>
      <x:c r="F2" s="4"/>
    </x:row>
    <x:row r="3" ht="35" customHeight="1">
      <x:c r="A3" s="9" t="str">
        <x:v>Specialize in accurate personal pressure, coordinated companion damage, or traps that trigger where the fight already is.</x:v>
      </x:c>
      <x:c r="B3" s="9"/>
      <x:c r="C3" s="9"/>
      <x:c r="D3" s="9"/>
      <x:c r="E3" s="9"/>
      <x:c r="F3" s="9"/>
    </x:row>
    <x:row r="5" ht="24" customHeight="1">
      <x:c r="A5" s="13" t="str">
        <x:v>FREE TRAIT  /  Quarry</x:v>
      </x:c>
      <x:c r="B5" s="13"/>
      <x:c r="C5" s="13"/>
      <x:c r="D5" s="13"/>
      <x:c r="E5" s="13"/>
      <x:c r="F5" s="13"/>
    </x:row>
    <x:row r="6" ht="24" customHeight="1">
      <x:c r="A6" s="22" t="str">
        <x:v>Your normal combat target is your Quarry; gain +10 HIT against it.  Initialize on first target acquisition. Permanent reacquisition after the previous target dies replaces it. A temporary taunt/decoy does not refresh any 'new Quarry' opening bonuses; it may temporarily prevent attacks against the Quarry.</x:v>
      </x:c>
      <x:c r="B6" s="22"/>
      <x:c r="C6" s="22"/>
      <x:c r="D6" s="22"/>
      <x:c r="E6" s="22"/>
      <x:c r="F6" s="22"/>
    </x:row>
    <x:row r="7" ht="24" customHeight="1">
      <x:c r="A7" s="22"/>
      <x:c r="B7" s="22"/>
      <x:c r="C7" s="22"/>
      <x:c r="D7" s="22"/>
      <x:c r="E7" s="22"/>
      <x:c r="F7" s="22"/>
    </x:row>
    <x:row r="9" ht="28" customHeight="1">
      <x:c r="A9" s="38" t="str">
        <x:v>DEADEYE  /  9 points to complete</x:v>
      </x:c>
      <x:c r="B9" s="38"/>
      <x:c r="C9" s="38"/>
      <x:c r="D9" s="38"/>
      <x:c r="E9" s="38"/>
      <x:c r="F9" s="38"/>
    </x:row>
    <x:row r="10" ht="28" customHeight="1">
      <x:c r="A10" s="21" t="str">
        <x:v>Reward sustained, accurate basic fire and real critical investment without relying on boss adds.</x:v>
      </x:c>
      <x:c r="B10" s="21"/>
      <x:c r="C10" s="21"/>
      <x:c r="D10" s="21"/>
      <x:c r="E10" s="21"/>
      <x:c r="F10" s="21"/>
    </x:row>
    <x:row r="11" ht="28" customHeight="1">
      <x:c r="A11" s="41" t="str">
        <x:v>STATS: DEX/ATK and HIT, then LUK/CRIT or AGI/ASPD. Retain VIT to survive unavoidable boss attacks.</x:v>
      </x:c>
      <x:c r="B11" s="41"/>
      <x:c r="C11" s="41"/>
      <x:c r="D11" s="41"/>
      <x:c r="E11" s="41"/>
      <x:c r="F11" s="41"/>
    </x:row>
    <x:row r="12" ht="30" customHeight="1">
      <x:c r="A12" s="47" t="str">
        <x:v>ID</x:v>
      </x:c>
      <x:c r="B12" s="47" t="str">
        <x:v>Tier</x:v>
      </x:c>
      <x:c r="C12" s="47" t="str">
        <x:v>Talent</x:v>
      </x:c>
      <x:c r="D12" s="47" t="str">
        <x:v>Rank 1</x:v>
      </x:c>
      <x:c r="E12" s="47" t="str">
        <x:v>Rank 2</x:v>
      </x:c>
      <x:c r="F12" s="47" t="str">
        <x:v>Resolution / limits</x:v>
      </x:c>
    </x:row>
    <x:row r="13" ht="120" customHeight="1">
      <x:c r="A13" s="60" t="str">
        <x:v>HD1</x:v>
      </x:c>
      <x:c r="B13" s="60" t="str">
        <x:v>Opening</x:v>
      </x:c>
      <x:c r="C13" s="61" t="str">
        <x:v>Patient Aim</x:v>
      </x:c>
      <x:c r="D13" s="60" t="str">
        <x:v>Landed personal basics against your Quarry add Focus, up to three. Each stack grants +3 CRIT.</x:v>
      </x:c>
      <x:c r="E13" s="60" t="str">
        <x:v>Each stack grants +5 CRIT.</x:v>
      </x:c>
      <x:c r="F13" s="60" t="str">
        <x:v>CRIT is the game's rating, not an unconditional final percent. Focus lasts until consumed or permanent Quarry change; no out-of-combat storage. A temporary target diversion pauses generation without granting new-opening bonuses.</x:v>
      </x:c>
    </x:row>
    <x:row r="14" ht="120" customHeight="1">
      <x:c r="A14" s="54" t="str">
        <x:v>HD2</x:v>
      </x:c>
      <x:c r="B14" s="54" t="str">
        <x:v>Fork A</x:v>
      </x:c>
      <x:c r="C14" s="58" t="str">
        <x:v>Needlepoint</x:v>
      </x:c>
      <x:c r="D14" s="54" t="str">
        <x:v>Your landed critical basics add 0.08 A physical damage.</x:v>
      </x:c>
      <x:c r="E14" s="54" t="str">
        <x:v>Added damage becomes 0.14 A.</x:v>
      </x:c>
      <x:c r="F14" s="54" t="str">
        <x:v>Shared 0.75-second trigger cooldown. The bonus is not another critical/basic event. It does not assume criticals ignore armor or deal any particular universal damage multiplier.</x:v>
      </x:c>
    </x:row>
    <x:row r="15" ht="120" customHeight="1">
      <x:c r="A15" s="60" t="str">
        <x:v>HD3</x:v>
      </x:c>
      <x:c r="B15" s="60" t="str">
        <x:v>Fork B</x:v>
      </x:c>
      <x:c r="C15" s="61" t="str">
        <x:v>Fresh Sight</x:v>
      </x:c>
      <x:c r="D15" s="60" t="str">
        <x:v>At initial acquisition and permanent replacement of a dead Quarry, start with one Focus.</x:v>
      </x:c>
      <x:c r="E15" s="60" t="str">
        <x:v>Start with two Focus.</x:v>
      </x:c>
      <x:c r="F15" s="60" t="str">
        <x:v>Set the opening amount; do not add it repeatedly. Does not trigger on temporary taunts, decoys, invalid clicks, or reselecting the same living enemy. This gives it value in a one-boss encounter.</x:v>
      </x:c>
    </x:row>
    <x:row r="16" ht="120" customHeight="1">
      <x:c r="A16" s="54" t="str">
        <x:v>HD4</x:v>
      </x:c>
      <x:c r="B16" s="54" t="str">
        <x:v>Advanced</x:v>
      </x:c>
      <x:c r="C16" s="58" t="str">
        <x:v>Called Shot</x:v>
      </x:c>
      <x:c r="D16" s="54" t="str">
        <x:v>A damaging personal active begun at three Focus spends one stack and adds 0.30 A physical damage to its primary hit.</x:v>
      </x:c>
      <x:c r="E16" s="54" t="str">
        <x:v>Added damage becomes 0.50 A.</x:v>
      </x:c>
      <x:c r="F16" s="54" t="str">
        <x:v>Check and consume once at cast start. No refund if the empowered primary hit misses or becomes invalid. Only the extra packet is affected by its own explicit modifiers; it does not multiply AoE or multi-hit components.</x:v>
      </x:c>
    </x:row>
    <x:row r="17" ht="120" customHeight="1">
      <x:c r="A17" s="64" t="str">
        <x:v>HD5</x:v>
      </x:c>
      <x:c r="B17" s="64" t="str">
        <x:v>Capstone</x:v>
      </x:c>
      <x:c r="C17" s="65" t="str">
        <x:v>One Perfect Arrow</x:v>
      </x:c>
      <x:c r="D17" s="60" t="str">
        <x:v>Every third landed personal critical basic stores a Perfect Arrow. Your next damaging active adds a guaranteed-hit 0.90 A physical packet to its primary target.</x:v>
      </x:c>
      <x:c r="E17" s="60" t="str">
        <x:v>One-rank capstone</x:v>
      </x:c>
      <x:c r="F17" s="60" t="str">
        <x:v>One stored Arrow; pause critical tally while stored. Its extra packet ignores HIT/FLEE, not mitigation, shields, legal range or invulnerability. It cannot crit or advance its own tally, and does not make the underlying active guaranteed-hit.</x:v>
      </x:c>
    </x:row>
    <x:row r="18" ht="30" customHeight="1">
      <x:c r="A18" s="41" t="str">
        <x:v>TRADE-OFF: Misses and interrupted firing slow Focus and the capstone. Burst begins more slowly than a fully front-loaded skill build.</x:v>
      </x:c>
      <x:c r="B18" s="41"/>
      <x:c r="C18" s="41"/>
      <x:c r="D18" s="41"/>
      <x:c r="E18" s="41"/>
      <x:c r="F18" s="41"/>
    </x:row>
    <x:row r="20" ht="28" customHeight="1">
      <x:c r="A20" s="38" t="str">
        <x:v>PACKLEADER  /  9 points to complete</x:v>
      </x:c>
      <x:c r="B20" s="38"/>
      <x:c r="C20" s="38"/>
      <x:c r="D20" s="38"/>
      <x:c r="E20" s="38"/>
      <x:c r="F20" s="38"/>
    </x:row>
    <x:row r="21" ht="28" customHeight="1">
      <x:c r="A21" s="21" t="str">
        <x:v>Use your attacks to coordinate the two actual equipped monsters, not an endlessly expanding summon army.</x:v>
      </x:c>
      <x:c r="B21" s="21"/>
      <x:c r="C21" s="21"/>
      <x:c r="D21" s="21"/>
      <x:c r="E21" s="21"/>
      <x:c r="F21" s="21"/>
    </x:row>
    <x:row r="22" ht="28" customHeight="1">
      <x:c r="A22" s="41" t="str">
        <x:v>STATS: DEX/ATK and HIT, with AGI for basic-fire rhythm and VIT for trainer survival. Monster move selection matters more than changing their innate stat curves.</x:v>
      </x:c>
      <x:c r="B22" s="41"/>
      <x:c r="C22" s="41"/>
      <x:c r="D22" s="41"/>
      <x:c r="E22" s="41"/>
      <x:c r="F22" s="41"/>
    </x:row>
    <x:row r="23" ht="30" customHeight="1">
      <x:c r="A23" s="47" t="str">
        <x:v>ID</x:v>
      </x:c>
      <x:c r="B23" s="47" t="str">
        <x:v>Tier</x:v>
      </x:c>
      <x:c r="C23" s="47" t="str">
        <x:v>Talent</x:v>
      </x:c>
      <x:c r="D23" s="47" t="str">
        <x:v>Rank 1</x:v>
      </x:c>
      <x:c r="E23" s="47" t="str">
        <x:v>Rank 2</x:v>
      </x:c>
      <x:c r="F23" s="47" t="str">
        <x:v>Resolution / limits</x:v>
      </x:c>
    </x:row>
    <x:row r="24" ht="120" customHeight="1">
      <x:c r="A24" s="60" t="str">
        <x:v>HP1</x:v>
      </x:c>
      <x:c r="B24" s="60" t="str">
        <x:v>Opening</x:v>
      </x:c>
      <x:c r="C24" s="61" t="str">
        <x:v>Hunting Signal</x:v>
      </x:c>
      <x:c r="D24" s="60" t="str">
        <x:v>Your damaging personal active marks its primary enemy for 3 seconds. Core monsters deal 6% more primary direct damage to it.</x:v>
      </x:c>
      <x:c r="E24" s="60" t="str">
        <x:v>Damage bonus becomes 10%.</x:v>
      </x:c>
      <x:c r="F24" s="60" t="str">
        <x:v>One signaled enemy at a time. Only landed legal primary hits establish the mark. Includes monster basics and their equipped damaging actives, but not passives, summons or periodic effects.</x:v>
      </x:c>
    </x:row>
    <x:row r="25" ht="120" customHeight="1">
      <x:c r="A25" s="54" t="str">
        <x:v>HP2</x:v>
      </x:c>
      <x:c r="B25" s="54" t="str">
        <x:v>Fork A</x:v>
      </x:c>
      <x:c r="C25" s="58" t="str">
        <x:v>Predator's Rhythm</x:v>
      </x:c>
      <x:c r="D25" s="54" t="str">
        <x:v>Each distinct core monster landing a primary hit on the signaled enemy grants you 4% shorter basic-attack interval for 3 seconds.</x:v>
      </x:c>
      <x:c r="E25" s="54" t="str">
        <x:v>Each distinct monster grants 7%.</x:v>
      </x:c>
      <x:c r="F25" s="54" t="str">
        <x:v>Maximum two distinct-monster contributions, summed within this talent to 8%/14% interval reduction. Refresh each contributor separately. Respect the game's attack-speed ceiling; no effect on active cooldowns.</x:v>
      </x:c>
    </x:row>
    <x:row r="26" ht="120" customHeight="1">
      <x:c r="A26" s="60" t="str">
        <x:v>HP3</x:v>
      </x:c>
      <x:c r="B26" s="60" t="str">
        <x:v>Fork B</x:v>
      </x:c>
      <x:c r="C26" s="61" t="str">
        <x:v>Pack Instinct</x:v>
      </x:c>
      <x:c r="D26" s="60" t="str">
        <x:v>While both equipped monsters remain alive, take 3% less direct damage.</x:v>
      </x:c>
      <x:c r="E26" s="60" t="str">
        <x:v>Reduction becomes 5%.</x:v>
      </x:c>
      <x:c r="F26" s="60" t="str">
        <x:v>Checks the two core monsters, never temporary summons. It does not revive or replace a fallen monster and does not apply to unavoidable non-hit costs.</x:v>
      </x:c>
    </x:row>
    <x:row r="27" ht="120" customHeight="1">
      <x:c r="A27" s="54" t="str">
        <x:v>HP4</x:v>
      </x:c>
      <x:c r="B27" s="54" t="str">
        <x:v>Advanced</x:v>
      </x:c>
      <x:c r="C27" s="58" t="str">
        <x:v>Crossfire</x:v>
      </x:c>
      <x:c r="D27" s="54" t="str">
        <x:v>When both core monsters land primary hits on the signaled enemy within 2 seconds, prime your next landed basic within 3 seconds for +0.30 A physical damage.</x:v>
      </x:c>
      <x:c r="E27" s="54" t="str">
        <x:v>Bonus becomes 0.50 A.</x:v>
      </x:c>
      <x:c r="F27" s="54" t="str">
        <x:v>Shared 2-second grant cooldown, one charge. Clear the two-monster record on grant. Summon hits and other passive follow-ups cannot fill it; missed hunter basics do not consume it.</x:v>
      </x:c>
    </x:row>
    <x:row r="28" ht="120" customHeight="1">
      <x:c r="A28" s="64" t="str">
        <x:v>HP5</x:v>
      </x:c>
      <x:c r="B28" s="64" t="str">
        <x:v>Capstone</x:v>
      </x:c>
      <x:c r="C28" s="65" t="str">
        <x:v>Alpha's Command</x:v>
      </x:c>
      <x:c r="D28" s="60" t="str">
        <x:v>Once every 4 seconds, a landed personal damaging active against the signaled enemy orders one bonus basic from each living core monster at 40% normal primary damage.</x:v>
      </x:c>
      <x:c r="E28" s="60" t="str">
        <x:v>One-rank capstone</x:v>
      </x:c>
      <x:c r="F28" s="60" t="str">
        <x:v>Resolve Hunting Signal before eligibility, so the first valid marking hit can command. A monster must already be able to legally attack that enemy; no movement, forced retarget or reach bypass. Bonus strikes can use normal hit checks but cannot crit, fire on-hit procs, heal through lifesteal, or generate casts/resources/talent triggers. Commands with no legal target are lost.</x:v>
      </x:c>
    </x:row>
    <x:row r="29" ht="30" customHeight="1">
      <x:c r="A29" s="41" t="str">
        <x:v>TRADE-OFF: Most payoff requires living companions already able to attack the shared target. High-summon-count teams do not multiply these triggers.</x:v>
      </x:c>
      <x:c r="B29" s="41"/>
      <x:c r="C29" s="41"/>
      <x:c r="D29" s="41"/>
      <x:c r="E29" s="41"/>
      <x:c r="F29" s="41"/>
    </x:row>
    <x:row r="31" ht="28" customHeight="1">
      <x:c r="A31" s="38" t="str">
        <x:v>TRAPWRIGHT  /  9 points to complete</x:v>
      </x:c>
      <x:c r="B31" s="38"/>
      <x:c r="C31" s="38"/>
      <x:c r="D31" s="38"/>
      <x:c r="E31" s="38"/>
      <x:c r="F31" s="38"/>
    </x:row>
    <x:row r="32" ht="28" customHeight="1">
      <x:c r="A32" s="21" t="str">
        <x:v>Attach traps to engaged enemies and turn the existing clash into a dangerous patch of ground.</x:v>
      </x:c>
      <x:c r="B32" s="21"/>
      <x:c r="C32" s="21"/>
      <x:c r="D32" s="21"/>
      <x:c r="E32" s="21"/>
      <x:c r="F32" s="21"/>
    </x:row>
    <x:row r="33" ht="28" customHeight="1">
      <x:c r="A33" s="41" t="str">
        <x:v>STATS: DEX/ATK, VIT/HP and optionally AGI/FLEE. FLEE complements protection but does not stop magic or guaranteed-hit effects.</x:v>
      </x:c>
      <x:c r="B33" s="41"/>
      <x:c r="C33" s="41"/>
      <x:c r="D33" s="41"/>
      <x:c r="E33" s="41"/>
      <x:c r="F33" s="41"/>
    </x:row>
    <x:row r="34" ht="30" customHeight="1">
      <x:c r="A34" s="47" t="str">
        <x:v>ID</x:v>
      </x:c>
      <x:c r="B34" s="47" t="str">
        <x:v>Tier</x:v>
      </x:c>
      <x:c r="C34" s="47" t="str">
        <x:v>Talent</x:v>
      </x:c>
      <x:c r="D34" s="47" t="str">
        <x:v>Rank 1</x:v>
      </x:c>
      <x:c r="E34" s="47" t="str">
        <x:v>Rank 2</x:v>
      </x:c>
      <x:c r="F34" s="47" t="str">
        <x:v>Resolution / limits</x:v>
      </x:c>
    </x:row>
    <x:row r="35" ht="120" customHeight="1">
      <x:c r="A35" s="60" t="str">
        <x:v>HT1</x:v>
      </x:c>
      <x:c r="B35" s="60" t="str">
        <x:v>Opening</x:v>
      </x:c>
      <x:c r="C35" s="61" t="str">
        <x:v>Anchorline</x:v>
      </x:c>
      <x:c r="D35" s="60" t="str">
        <x:v>A landed damaging personal active attaches a Snare to its primary target. It snaps on that enemy's next attack launch or after 2 seconds, dealing 0.15 A physical damage.</x:v>
      </x:c>
      <x:c r="E35" s="60" t="str">
        <x:v>Snap damage becomes 0.25 A.</x:v>
      </x:c>
      <x:c r="F35" s="60" t="str">
        <x:v>One primary Snare; grant cooldown 3 seconds. 'Attack launch' includes damaging actives or basics, not passive damage. Automatic timeout ensures value against slow bosses. A Snare is an attached status, not a blocking unit; no movement trigger is required. It uses no second HIT check after the attaching hit lands.</x:v>
      </x:c>
    </x:row>
    <x:row r="36" ht="120" customHeight="1">
      <x:c r="A36" s="54" t="str">
        <x:v>HT2</x:v>
      </x:c>
      <x:c r="B36" s="54" t="str">
        <x:v>Fork A</x:v>
      </x:c>
      <x:c r="C36" s="58" t="str">
        <x:v>Tension Wire</x:v>
      </x:c>
      <x:c r="D36" s="54" t="str">
        <x:v>A Snare snap weakens the enemy's next direct primary hit within 3 seconds by 8%.</x:v>
      </x:c>
      <x:c r="E36" s="54" t="str">
        <x:v>Reduction becomes 14%.</x:v>
      </x:c>
      <x:c r="F36" s="54" t="str">
        <x:v>If the snap occurs at an attack launch, apply its debuff before that attack resolves. One primary hit consumes it; no stacking from multiple simultaneous Snares.</x:v>
      </x:c>
    </x:row>
    <x:row r="37" ht="120" customHeight="1">
      <x:c r="A37" s="60" t="str">
        <x:v>HT3</x:v>
      </x:c>
      <x:c r="B37" s="60" t="str">
        <x:v>Fork B</x:v>
      </x:c>
      <x:c r="C37" s="61" t="str">
        <x:v>Scatterline</x:v>
      </x:c>
      <x:c r="D37" s="60" t="str">
        <x:v>Also attach a secondary Snare to one other enemy within 1.5R of the primary target; its snap deals half damage.</x:v>
      </x:c>
      <x:c r="E37" s="60" t="str">
        <x:v>Attach to up to two other enemies instead.</x:v>
      </x:c>
      <x:c r="F37" s="60" t="str">
        <x:v>Maximum three attached Snares globally including primary. Secondaries use Anchorline's base amount before halving and share the original grant cooldown; apply normal secondary-target eligibility/accuracy. They may apply Tension Wire, but cannot create capstone ground zones. No replacement hits on a lone boss.</x:v>
      </x:c>
    </x:row>
    <x:row r="38" ht="120" customHeight="1">
      <x:c r="A38" s="54" t="str">
        <x:v>HT4</x:v>
      </x:c>
      <x:c r="B38" s="54" t="str">
        <x:v>Advanced</x:v>
      </x:c>
      <x:c r="C38" s="58" t="str">
        <x:v>Surefooted Ambush</x:v>
      </x:c>
      <x:c r="D38" s="54" t="str">
        <x:v>When any of your Snares snaps, gain +10 FLEE and +8 HIT for 2 seconds.</x:v>
      </x:c>
      <x:c r="E38" s="54" t="str">
        <x:v>Bonuses become +18 FLEE and +12 HIT.</x:v>
      </x:c>
      <x:c r="F38" s="54" t="str">
        <x:v>Same-source refresh only; a group of simultaneous snaps cannot stack the stats. It is evasion/accuracy, not movement speed or teleportation.</x:v>
      </x:c>
    </x:row>
    <x:row r="39" ht="120" customHeight="1">
      <x:c r="A39" s="64" t="str">
        <x:v>HT5</x:v>
      </x:c>
      <x:c r="B39" s="64" t="str">
        <x:v>Capstone</x:v>
      </x:c>
      <x:c r="C39" s="65" t="str">
        <x:v>Killing Ground</x:v>
      </x:c>
      <x:c r="D39" s="60" t="str">
        <x:v>A primary Snare snap creates a 3-second caltrop zone at that enemy's current location. It deals 0.12 A physical damage immediately and at seconds 1 and 2 to up to three enemies within 1.5R.</x:v>
      </x:c>
      <x:c r="E39" s="60" t="str">
        <x:v>One-rank capstone</x:v>
      </x:c>
      <x:c r="F39" s="60" t="str">
        <x:v>Maximum one zone. Despawning/replacing it does not grant extra opening pulses beyond the primary Snare's 3-second grant cadence. It is a timed ground effect, not a targetable structure; no movement trigger. A boss is one target. Pulses cannot attach Snares or trigger other talents.</x:v>
      </x:c>
    </x:row>
    <x:row r="40" ht="30" customHeight="1">
      <x:c r="A40" s="41" t="str">
        <x:v>TRADE-OFF: More pressure reduction and group coverage, less single-target scaling than Deadeye. Fixed ground effects can be left behind after targets die.</x:v>
      </x:c>
      <x:c r="B40" s="41"/>
      <x:c r="C40" s="41"/>
      <x:c r="D40" s="41"/>
      <x:c r="E40" s="41"/>
      <x:c r="F40" s="41"/>
    </x:row>
  </x:sheetData>
  <x:mergeCells>
    <x:mergeCell ref="A1:F2"/>
    <x:mergeCell ref="A3:F3"/>
    <x:mergeCell ref="A5:F5"/>
    <x:mergeCell ref="A6:F7"/>
    <x:mergeCell ref="A9:F9"/>
    <x:mergeCell ref="A10:F10"/>
    <x:mergeCell ref="A11:F11"/>
    <x:mergeCell ref="A18:F18"/>
    <x:mergeCell ref="A20:F20"/>
    <x:mergeCell ref="A21:F21"/>
    <x:mergeCell ref="A22:F22"/>
    <x:mergeCell ref="A29:F29"/>
    <x:mergeCell ref="A31:F31"/>
    <x:mergeCell ref="A32:F32"/>
    <x:mergeCell ref="A33:F33"/>
    <x:mergeCell ref="A40:F40"/>
  </x:mergeCells>
  <x:pageMargins left="0.7" right="0.7" top="0.75" bottom="0.75" header="0.3" footer="0.3"/>
</x:worksheet>
</file>

<file path=xl/worksheets/sheet6.xml><?xml version="1.0" encoding="utf-8"?>
<x:worksheet xmlns:x="http://schemas.openxmlformats.org/spreadsheetml/2006/main">
  <x:sheetFormatPr defaultRowHeight="15"/>
  <x:cols>
    <x:col min="1" max="1" width="9" hidden="0" customWidth="1"/>
    <x:col min="2" max="2" width="12" hidden="0" customWidth="1"/>
    <x:col min="3" max="3" width="22" hidden="0" customWidth="1"/>
    <x:col min="4" max="4" width="12" hidden="0" customWidth="1"/>
    <x:col min="5" max="5" width="24" hidden="0" customWidth="1"/>
    <x:col min="6" max="6" width="9" hidden="0" customWidth="1"/>
    <x:col min="7" max="7" width="42" hidden="0" customWidth="1"/>
    <x:col min="8" max="8" width="28" hidden="0" customWidth="1"/>
    <x:col min="9" max="9" width="52" hidden="0" customWidth="1"/>
    <x:col min="10" max="10" width="25" hidden="0" customWidth="1"/>
  </x:cols>
  <x:sheetData>
    <x:row r="1" ht="24" customHeight="1">
      <x:c r="A1" s="4" t="str">
        <x:v>TALENT CATALOG</x:v>
      </x:c>
      <x:c r="B1" s="4"/>
      <x:c r="C1" s="4"/>
      <x:c r="D1" s="4"/>
      <x:c r="E1" s="4"/>
      <x:c r="F1" s="4"/>
      <x:c r="G1" s="4"/>
      <x:c r="H1" s="4"/>
      <x:c r="I1" s="4"/>
      <x:c r="J1" s="4"/>
    </x:row>
    <x:row r="2" ht="24" customHeight="1">
      <x:c r="A2" s="4"/>
      <x:c r="B2" s="4"/>
      <x:c r="C2" s="4"/>
      <x:c r="D2" s="4"/>
      <x:c r="E2" s="4"/>
      <x:c r="F2" s="4"/>
      <x:c r="G2" s="4"/>
      <x:c r="H2" s="4"/>
      <x:c r="I2" s="4"/>
      <x:c r="J2" s="4"/>
    </x:row>
    <x:row r="3" ht="35" customHeight="1">
      <x:c r="A3" s="9" t="str">
        <x:v>60 unique talent nodes • Search and filter by class, branch or tier</x:v>
      </x:c>
      <x:c r="B3" s="9"/>
      <x:c r="C3" s="9"/>
      <x:c r="D3" s="9"/>
      <x:c r="E3" s="9"/>
      <x:c r="F3" s="9"/>
      <x:c r="G3" s="9"/>
      <x:c r="H3" s="9"/>
      <x:c r="I3" s="9"/>
      <x:c r="J3" s="9"/>
    </x:row>
    <x:row r="4" ht="30" customHeight="1">
      <x:c r="A4" s="47" t="str">
        <x:v>ID</x:v>
      </x:c>
      <x:c r="B4" s="47" t="str">
        <x:v>Class</x:v>
      </x:c>
      <x:c r="C4" s="47" t="str">
        <x:v>Branch</x:v>
      </x:c>
      <x:c r="D4" s="47" t="str">
        <x:v>Tier</x:v>
      </x:c>
      <x:c r="E4" s="47" t="str">
        <x:v>Talent</x:v>
      </x:c>
      <x:c r="F4" s="47" t="str">
        <x:v>Max rank</x:v>
      </x:c>
      <x:c r="G4" s="47" t="str">
        <x:v>Rank 1</x:v>
      </x:c>
      <x:c r="H4" s="47" t="str">
        <x:v>Rank 2</x:v>
      </x:c>
      <x:c r="I4" s="47" t="str">
        <x:v>Resolution / limits</x:v>
      </x:c>
      <x:c r="J4" s="47" t="str">
        <x:v>Source</x:v>
      </x:c>
    </x:row>
    <x:row r="5" ht="120" customHeight="1">
      <x:c r="A5" s="54" t="str">
        <x:v>MG1</x:v>
      </x:c>
      <x:c r="B5" s="54" t="str">
        <x:v>Mage</x:v>
      </x:c>
      <x:c r="C5" s="54" t="str">
        <x:v>Living Grimoire</x:v>
      </x:c>
      <x:c r="D5" s="54" t="str">
        <x:v>Opening</x:v>
      </x:c>
      <x:c r="E5" s="54" t="str">
        <x:v>Threefold Script</x:v>
      </x:c>
      <x:c r="F5" s="54" t="n">
        <x:v>2</x:v>
      </x:c>
      <x:c r="G5" s="54" t="str">
        <x:v>Using all three different equipped active slots illuminates the next damaging active: add 0.40 M magic damage to its primary hit.</x:v>
      </x:c>
      <x:c r="H5" s="54" t="str">
        <x:v>Illuminated bonus becomes 0.70 M.</x:v>
      </x:c>
      <x:c r="I5" s="54" t="str">
        <x:v>Track slot identities, not number of targets or hits. On illumination, stop recording until the empowered active begins. Clear the record when consumed; that active's resolution may start the next cycle. An empowered active must have a legal enemy target; a miss/invalidated hit does not refund the consumed enhancement.</x:v>
      </x:c>
      <x:c r="J5" s="54" t="str">
        <x:v>Original design proposal; user combat constraints and supplied v2 roster</x:v>
      </x:c>
    </x:row>
    <x:row r="6" ht="120" customHeight="1">
      <x:c r="A6" s="54" t="str">
        <x:v>MG2</x:v>
      </x:c>
      <x:c r="B6" s="54" t="str">
        <x:v>Mage</x:v>
      </x:c>
      <x:c r="C6" s="54" t="str">
        <x:v>Living Grimoire</x:v>
      </x:c>
      <x:c r="D6" s="54" t="str">
        <x:v>Fork A</x:v>
      </x:c>
      <x:c r="E6" s="54" t="str">
        <x:v>Borrowed Syntax</x:v>
      </x:c>
      <x:c r="F6" s="54" t="n">
        <x:v>2</x:v>
      </x:c>
      <x:c r="G6" s="54" t="str">
        <x:v>A core monster's personal active primes your next damaging active within 4 seconds for +0.12 M magic damage.</x:v>
      </x:c>
      <x:c r="H6" s="54" t="str">
        <x:v>Bonus becomes 0.20 M.</x:v>
      </x:c>
      <x:c r="I6" s="54" t="str">
        <x:v>One shared charge. The two monsters share a 2-second grant cooldown. A repeated grant refreshes but does not stack. Monster summons, passive casts and echoes cannot prime it.</x:v>
      </x:c>
      <x:c r="J6" s="54" t="str">
        <x:v>Original design proposal; user combat constraints and supplied v2 roster</x:v>
      </x:c>
    </x:row>
    <x:row r="7" ht="120" customHeight="1">
      <x:c r="A7" s="54" t="str">
        <x:v>MG3</x:v>
      </x:c>
      <x:c r="B7" s="54" t="str">
        <x:v>Mage</x:v>
      </x:c>
      <x:c r="C7" s="54" t="str">
        <x:v>Living Grimoire</x:v>
      </x:c>
      <x:c r="D7" s="54" t="str">
        <x:v>Fork B</x:v>
      </x:c>
      <x:c r="E7" s="54" t="str">
        <x:v>Quiet Equation</x:v>
      </x:c>
      <x:c r="F7" s="54" t="n">
        <x:v>2</x:v>
      </x:c>
      <x:c r="G7" s="54" t="str">
        <x:v>A purely non-damaging personal active gives you a 0.20 M + 1% H shield for 2 seconds.</x:v>
      </x:c>
      <x:c r="H7" s="54" t="str">
        <x:v>Shield becomes 0.35 M + 1% H.</x:v>
      </x:c>
      <x:c r="I7" s="54" t="str">
        <x:v>A skill with a direct or delayed damage component is not classified as purely non-damaging. Each cast produces one self-shield application, subject to ordinary same-source shield rules.</x:v>
      </x:c>
      <x:c r="J7" s="54" t="str">
        <x:v>Original design proposal; user combat constraints and supplied v2 roster</x:v>
      </x:c>
    </x:row>
    <x:row r="8" ht="120" customHeight="1">
      <x:c r="A8" s="54" t="str">
        <x:v>MG4</x:v>
      </x:c>
      <x:c r="B8" s="54" t="str">
        <x:v>Mage</x:v>
      </x:c>
      <x:c r="C8" s="54" t="str">
        <x:v>Living Grimoire</x:v>
      </x:c>
      <x:c r="D8" s="54" t="str">
        <x:v>Advanced</x:v>
      </x:c>
      <x:c r="E8" s="54" t="str">
        <x:v>Arcane Punctuation</x:v>
      </x:c>
      <x:c r="F8" s="54" t="n">
        <x:v>2</x:v>
      </x:c>
      <x:c r="G8" s="54" t="str">
        <x:v>An illuminated primary hit schedules a second bolt for 0.20 M magic damage after 0.5 seconds.</x:v>
      </x:c>
      <x:c r="H8" s="54" t="str">
        <x:v>Bolt becomes 0.35 M.</x:v>
      </x:c>
      <x:c r="I8" s="54" t="str">
        <x:v>The bolt only hits the original enemy if it is still alive and legally reachable; it does not seek the trainer behind it. It copies no control, status, resource generation, or skill multiplier.</x:v>
      </x:c>
      <x:c r="J8" s="54" t="str">
        <x:v>Original design proposal; user combat constraints and supplied v2 roster</x:v>
      </x:c>
    </x:row>
    <x:row r="9" ht="120" customHeight="1">
      <x:c r="A9" s="54" t="str">
        <x:v>MG5</x:v>
      </x:c>
      <x:c r="B9" s="54" t="str">
        <x:v>Mage</x:v>
      </x:c>
      <x:c r="C9" s="54" t="str">
        <x:v>Living Grimoire</x:v>
      </x:c>
      <x:c r="D9" s="54" t="str">
        <x:v>Capstone</x:v>
      </x:c>
      <x:c r="E9" s="54" t="str">
        <x:v>Grand Conjunction</x:v>
      </x:c>
      <x:c r="F9" s="54" t="n">
        <x:v>1</x:v>
      </x:c>
      <x:c r="G9" s="54" t="str">
        <x:v>If the completed Script used three damaging skills, increase its illuminated bonus by 50%. If it included a purely non-damaging skill, instead shield the lowest-HP-percentage core ally for 0.70 M for 3 seconds when the empowered hit lands.</x:v>
      </x:c>
      <x:c r="H9" s="54" t="str"/>
      <x:c r="I9" s="54" t="str">
        <x:v>Classify the completed three-slot cycle and store its mode. The 50% modifier applies only to Threefold Script's bonus, not the whole skill, Punctuation or Borrowed Syntax. The alternative shield is one ally's shield, not a party-wide amount.</x:v>
      </x:c>
      <x:c r="J9" s="54" t="str">
        <x:v>Original design proposal; user combat constraints and supplied v2 roster</x:v>
      </x:c>
    </x:row>
    <x:row r="10" ht="120" customHeight="1">
      <x:c r="A10" s="54" t="str">
        <x:v>MP1</x:v>
      </x:c>
      <x:c r="B10" s="54" t="str">
        <x:v>Mage</x:v>
      </x:c>
      <x:c r="C10" s="54" t="str">
        <x:v>Prism Warder</x:v>
      </x:c>
      <x:c r="D10" s="54" t="str">
        <x:v>Opening</x:v>
      </x:c>
      <x:c r="E10" s="54" t="str">
        <x:v>Faceted Skin</x:v>
      </x:c>
      <x:c r="F10" s="54" t="n">
        <x:v>2</x:v>
      </x:c>
      <x:c r="G10" s="54" t="str">
        <x:v>Every personal active adds a self-shield of 0.25 M + 1% H for 3 seconds.</x:v>
      </x:c>
      <x:c r="H10" s="54" t="str">
        <x:v>Adds 0.40 M + 1.5% H instead.</x:v>
      </x:c>
      <x:c r="I10" s="54" t="str">
        <x:v>Only this talent's pool accumulates; cap it at 15% H. New applications refresh this pool to 3 seconds. Count the amount actually added after its cap for downstream effects.</x:v>
      </x:c>
      <x:c r="J10" s="54" t="str">
        <x:v>Original design proposal; user combat constraints and supplied v2 roster</x:v>
      </x:c>
    </x:row>
    <x:row r="11" ht="120" customHeight="1">
      <x:c r="A11" s="54" t="str">
        <x:v>MP2</x:v>
      </x:c>
      <x:c r="B11" s="54" t="str">
        <x:v>Mage</x:v>
      </x:c>
      <x:c r="C11" s="54" t="str">
        <x:v>Prism Warder</x:v>
      </x:c>
      <x:c r="D11" s="54" t="str">
        <x:v>Fork A</x:v>
      </x:c>
      <x:c r="E11" s="54" t="str">
        <x:v>Prismatic Refusal</x:v>
      </x:c>
      <x:c r="F11" s="54" t="n">
        <x:v>2</x:v>
      </x:c>
      <x:c r="G11" s="54" t="str">
        <x:v>Gaining a Faceted Skin shield primes your next damaging active within 3 seconds for +0.15 M magic damage.</x:v>
      </x:c>
      <x:c r="H11" s="54" t="str">
        <x:v>Bonus becomes 0.25 M.</x:v>
      </x:c>
      <x:c r="I11" s="54" t="str">
        <x:v>One charge, 3-second shared grant cooldown. The source shield must have added a positive amount. The empowered active need not still be shielded when it lands.</x:v>
      </x:c>
      <x:c r="J11" s="54" t="str">
        <x:v>Original design proposal; user combat constraints and supplied v2 roster</x:v>
      </x:c>
    </x:row>
    <x:row r="12" ht="120" customHeight="1">
      <x:c r="A12" s="54" t="str">
        <x:v>MP3</x:v>
      </x:c>
      <x:c r="B12" s="54" t="str">
        <x:v>Mage</x:v>
      </x:c>
      <x:c r="C12" s="54" t="str">
        <x:v>Prism Warder</x:v>
      </x:c>
      <x:c r="D12" s="54" t="str">
        <x:v>Fork B</x:v>
      </x:c>
      <x:c r="E12" s="54" t="str">
        <x:v>Sheltercasting</x:v>
      </x:c>
      <x:c r="F12" s="54" t="n">
        <x:v>2</x:v>
      </x:c>
      <x:c r="G12" s="54" t="str">
        <x:v>Give the lowest-HP-percentage core monster a 3-second shield worth 25% of the amount Faceted Skin actually added.</x:v>
      </x:c>
      <x:c r="H12" s="54" t="str">
        <x:v>Transfer-equivalent amount becomes 40%.</x:v>
      </x:c>
      <x:c r="I12" s="54" t="str">
        <x:v>Creates a separate smaller shield; it does not take shield HP from the mage. It cannot target a summoned entity, and does not count as another Faceted Skin grant.</x:v>
      </x:c>
      <x:c r="J12" s="54" t="str">
        <x:v>Original design proposal; user combat constraints and supplied v2 roster</x:v>
      </x:c>
    </x:row>
    <x:row r="13" ht="120" customHeight="1">
      <x:c r="A13" s="54" t="str">
        <x:v>MP4</x:v>
      </x:c>
      <x:c r="B13" s="54" t="str">
        <x:v>Mage</x:v>
      </x:c>
      <x:c r="C13" s="54" t="str">
        <x:v>Prism Warder</x:v>
      </x:c>
      <x:c r="D13" s="54" t="str">
        <x:v>Advanced</x:v>
      </x:c>
      <x:c r="E13" s="54" t="str">
        <x:v>Fracture Memory</x:v>
      </x:c>
      <x:c r="F13" s="54" t="n">
        <x:v>2</x:v>
      </x:c>
      <x:c r="G13" s="54" t="str">
        <x:v>When enemy damage breaks your last ordinary personal shield, reduce the next enemy direct hit against you within 3 seconds by 15%.</x:v>
      </x:c>
      <x:c r="H13" s="54" t="str">
        <x:v>Reduction becomes 25%.</x:v>
      </x:c>
      <x:c r="I13" s="54" t="str">
        <x:v>6-second trigger cooldown. Shield expiry, dispels and voluntarily spending shield HP do not count as a break. Applies to a later hit, never to the hit that already broke the shield. Shared Prism Sanctuary barriers are excluded.</x:v>
      </x:c>
      <x:c r="J13" s="54" t="str">
        <x:v>Original design proposal; user combat constraints and supplied v2 roster</x:v>
      </x:c>
    </x:row>
    <x:row r="14" ht="120" customHeight="1">
      <x:c r="A14" s="54" t="str">
        <x:v>MP5</x:v>
      </x:c>
      <x:c r="B14" s="54" t="str">
        <x:v>Mage</x:v>
      </x:c>
      <x:c r="C14" s="54" t="str">
        <x:v>Prism Warder</x:v>
      </x:c>
      <x:c r="D14" s="54" t="str">
        <x:v>Capstone</x:v>
      </x:c>
      <x:c r="E14" s="54" t="str">
        <x:v>Prism Sanctuary</x:v>
      </x:c>
      <x:c r="F14" s="54" t="n">
        <x:v>1</x:v>
      </x:c>
      <x:c r="G14" s="54" t="str">
        <x:v>Once per battle, after surviving enemy damage that leaves you below 45% HP, create a 4-second shared party barrier with capacity 12% H + 0.80 M.</x:v>
      </x:c>
      <x:c r="H14" s="54" t="str"/>
      <x:c r="I14" s="54" t="str">
        <x:v>All three core allies draw from one finite barrier pool after their own shields; this is not the full amount per ally. It is not a summon or interception effect and triggers no ordinary shield-absorption passives. The triggering damage is already resolved; lethal damage ends the battle before Sanctuary can appear.</x:v>
      </x:c>
      <x:c r="J14" s="54" t="str">
        <x:v>Original design proposal; user combat constraints and supplied v2 roster</x:v>
      </x:c>
    </x:row>
    <x:row r="15" ht="120" customHeight="1">
      <x:c r="A15" s="54" t="str">
        <x:v>MA1</x:v>
      </x:c>
      <x:c r="B15" s="54" t="str">
        <x:v>Mage</x:v>
      </x:c>
      <x:c r="C15" s="54" t="str">
        <x:v>Astral Architect</x:v>
      </x:c>
      <x:c r="D15" s="54" t="str">
        <x:v>Opening</x:v>
      </x:c>
      <x:c r="E15" s="54" t="str">
        <x:v>Astral Lens</x:v>
      </x:c>
      <x:c r="F15" s="54" t="n">
        <x:v>2</x:v>
      </x:c>
      <x:c r="G15" s="54" t="str">
        <x:v>Start battle with one stationary lens: 12% H HP, 6-second life, one 0.18 M magic bolt at seconds 1, 3 and 5.</x:v>
      </x:c>
      <x:c r="H15" s="54" t="str">
        <x:v>Bolts become 0.30 M.</x:v>
      </x:c>
      <x:c r="I15" s="54" t="str">
        <x:v>Place adjacent to the mage in a legal unoccupied position; use mage's ordinary ranged reach. It prefers the mage's current legal target, then nearest reachable enemy. If absent, the next personal active redeploys it, no sooner than 8 seconds after its last deployment. Maximum one; no refresh while alive. Ordinary heals do not target it.</x:v>
      </x:c>
      <x:c r="J15" s="54" t="str">
        <x:v>Original design proposal; user combat constraints and supplied v2 roster</x:v>
      </x:c>
    </x:row>
    <x:row r="16" ht="120" customHeight="1">
      <x:c r="A16" s="54" t="str">
        <x:v>MA2</x:v>
      </x:c>
      <x:c r="B16" s="54" t="str">
        <x:v>Mage</x:v>
      </x:c>
      <x:c r="C16" s="54" t="str">
        <x:v>Astral Architect</x:v>
      </x:c>
      <x:c r="D16" s="54" t="str">
        <x:v>Fork A</x:v>
      </x:c>
      <x:c r="E16" s="54" t="str">
        <x:v>Targeting Array</x:v>
      </x:c>
      <x:c r="F16" s="54" t="n">
        <x:v>2</x:v>
      </x:c>
      <x:c r="G16" s="54" t="str">
        <x:v>Your damaging actives mark their primary enemy for 3 seconds. Lens bolts against that enemy deal 25% more damage.</x:v>
      </x:c>
      <x:c r="H16" s="54" t="str">
        <x:v>Marked-target bonus becomes 40%.</x:v>
      </x:c>
      <x:c r="I16" s="54" t="str">
        <x:v>One marked enemy; a new valid primary target replaces it. A mark is a preference, not permission to ignore normal reach or formation. The modifier applies to scheduled bolt base damage, not Stored Equation or Grand Orrery bonuses.</x:v>
      </x:c>
      <x:c r="J16" s="54" t="str">
        <x:v>Original design proposal; user combat constraints and supplied v2 roster</x:v>
      </x:c>
    </x:row>
    <x:row r="17" ht="120" customHeight="1">
      <x:c r="A17" s="54" t="str">
        <x:v>MA3</x:v>
      </x:c>
      <x:c r="B17" s="54" t="str">
        <x:v>Mage</x:v>
      </x:c>
      <x:c r="C17" s="54" t="str">
        <x:v>Astral Architect</x:v>
      </x:c>
      <x:c r="D17" s="54" t="str">
        <x:v>Fork B</x:v>
      </x:c>
      <x:c r="E17" s="54" t="str">
        <x:v>Prismatic Housing</x:v>
      </x:c>
      <x:c r="F17" s="54" t="n">
        <x:v>2</x:v>
      </x:c>
      <x:c r="G17" s="54" t="str">
        <x:v>Increase Lens maximum HP by 25%; deploying it shields you for 2% H for 2 seconds.</x:v>
      </x:c>
      <x:c r="H17" s="54" t="str">
        <x:v>Lens HP increase becomes 50%; deployment shield becomes 4% H.</x:v>
      </x:c>
      <x:c r="I17" s="54" t="str">
        <x:v>HP multiplier applies only to Astral Lens's stated base HP. The deployment shield cannot deploy another Lens. This does not add owner defenses, dodge, or critical stats to the construct.</x:v>
      </x:c>
      <x:c r="J17" s="54" t="str">
        <x:v>Original design proposal; user combat constraints and supplied v2 roster</x:v>
      </x:c>
    </x:row>
    <x:row r="18" ht="120" customHeight="1">
      <x:c r="A18" s="54" t="str">
        <x:v>MA4</x:v>
      </x:c>
      <x:c r="B18" s="54" t="str">
        <x:v>Mage</x:v>
      </x:c>
      <x:c r="C18" s="54" t="str">
        <x:v>Astral Architect</x:v>
      </x:c>
      <x:c r="D18" s="54" t="str">
        <x:v>Advanced</x:v>
      </x:c>
      <x:c r="E18" s="54" t="str">
        <x:v>Stored Equation</x:v>
      </x:c>
      <x:c r="F18" s="54" t="n">
        <x:v>2</x:v>
      </x:c>
      <x:c r="G18" s="54" t="str">
        <x:v>Every second personal active resolved while the Lens lives charges its next scheduled bolt for +0.30 M.</x:v>
      </x:c>
      <x:c r="H18" s="54" t="str">
        <x:v>Charged bonus becomes 0.50 M.</x:v>
      </x:c>
      <x:c r="I18" s="54" t="str">
        <x:v>One stored charge; discard progress and charge on Lens destruction/expiry. Only scheduled bolts consume the charge. Casts counted during deployment begin after the new Lens exists; define deployment-cast resolution as its first count.</x:v>
      </x:c>
      <x:c r="J18" s="54" t="str">
        <x:v>Original design proposal; user combat constraints and supplied v2 roster</x:v>
      </x:c>
    </x:row>
    <x:row r="19" ht="120" customHeight="1">
      <x:c r="A19" s="54" t="str">
        <x:v>MA5</x:v>
      </x:c>
      <x:c r="B19" s="54" t="str">
        <x:v>Mage</x:v>
      </x:c>
      <x:c r="C19" s="54" t="str">
        <x:v>Astral Architect</x:v>
      </x:c>
      <x:c r="D19" s="54" t="str">
        <x:v>Capstone</x:v>
      </x:c>
      <x:c r="E19" s="54" t="str">
        <x:v>Grand Orrery</x:v>
      </x:c>
      <x:c r="F19" s="54" t="n">
        <x:v>1</x:v>
      </x:c>
      <x:c r="G19" s="54" t="str">
        <x:v>During each Lens deployment, the first personal active from each of your two core monsters commands one extra bolt: normal unmarked Lens bolt damage +0.25 M.</x:v>
      </x:c>
      <x:c r="H19" s="54" t="str"/>
      <x:c r="I19" s="54" t="str">
        <x:v>At most two extra bolts per deployment. A monster casts once for this purpose even if its skill has several targets or summons. Extra bolts cannot consume/store Equation, receive Targeting Array, or trigger any secondary talent. A command with no legal reachable target is lost.</x:v>
      </x:c>
      <x:c r="J19" s="54" t="str">
        <x:v>Original design proposal; user combat constraints and supplied v2 roster</x:v>
      </x:c>
    </x:row>
    <x:row r="20" ht="120" customHeight="1">
      <x:c r="A20" s="54" t="str">
        <x:v>DL1</x:v>
      </x:c>
      <x:c r="B20" s="54" t="str">
        <x:v>Druid</x:v>
      </x:c>
      <x:c r="C20" s="54" t="str">
        <x:v>Lifebloom</x:v>
      </x:c>
      <x:c r="D20" s="54" t="str">
        <x:v>Opening</x:v>
      </x:c>
      <x:c r="E20" s="54" t="str">
        <x:v>Mending Seed</x:v>
      </x:c>
      <x:c r="F20" s="54" t="n">
        <x:v>2</x:v>
      </x:c>
      <x:c r="G20" s="54" t="str">
        <x:v>A personal primary heal plants a 4-second Seed. The recipient's next enemy hit that removes HP consumes it to heal 0.20 M afterward.</x:v>
      </x:c>
      <x:c r="H20" s="54" t="str">
        <x:v>Seed healing becomes 0.35 M.</x:v>
      </x:c>
      <x:c r="I20" s="54" t="str">
        <x:v>One Seed per ally, grant cooldown 2 seconds per recipient. For multi-target heals, plant only on the healed ally with the lowest HP percentage before the heal; trainer wins ties. Passive/periodic heals cannot plant. Heal after confirming survival. Reapplication refreshes, not stacks.</x:v>
      </x:c>
      <x:c r="J20" s="54" t="str">
        <x:v>Original design proposal; user combat constraints and supplied v2 roster</x:v>
      </x:c>
    </x:row>
    <x:row r="21" ht="120" customHeight="1">
      <x:c r="A21" s="54" t="str">
        <x:v>DL2</x:v>
      </x:c>
      <x:c r="B21" s="54" t="str">
        <x:v>Druid</x:v>
      </x:c>
      <x:c r="C21" s="54" t="str">
        <x:v>Lifebloom</x:v>
      </x:c>
      <x:c r="D21" s="54" t="str">
        <x:v>Fork A</x:v>
      </x:c>
      <x:c r="E21" s="54" t="str">
        <x:v>Gentle Excess</x:v>
      </x:c>
      <x:c r="F21" s="54" t="n">
        <x:v>2</x:v>
      </x:c>
      <x:c r="G21" s="54" t="str">
        <x:v>Convert 25% of overhealing from personal primary heals into a 3-second shield.</x:v>
      </x:c>
      <x:c r="H21" s="54" t="str">
        <x:v>Conversion becomes 40%.</x:v>
      </x:c>
      <x:c r="I21" s="54" t="str">
        <x:v>Cap this talent's shield per recipient at 6% of that recipient's maximum HP. Sum simultaneous primary heal components before determining overheal. Living Sap, Seeds and triggered/periodic recovery are excluded.</x:v>
      </x:c>
      <x:c r="J21" s="54" t="str">
        <x:v>Original design proposal; user combat constraints and supplied v2 roster</x:v>
      </x:c>
    </x:row>
    <x:row r="22" ht="120" customHeight="1">
      <x:c r="A22" s="54" t="str">
        <x:v>DL3</x:v>
      </x:c>
      <x:c r="B22" s="54" t="str">
        <x:v>Druid</x:v>
      </x:c>
      <x:c r="C22" s="54" t="str">
        <x:v>Lifebloom</x:v>
      </x:c>
      <x:c r="D22" s="54" t="str">
        <x:v>Fork B</x:v>
      </x:c>
      <x:c r="E22" s="54" t="str">
        <x:v>Borrowed Spring</x:v>
      </x:c>
      <x:c r="F22" s="54" t="n">
        <x:v>2</x:v>
      </x:c>
      <x:c r="G22" s="54" t="str">
        <x:v>When a Seed heals, also heal the most injured other core ally for 40% of the HP it actually restored.</x:v>
      </x:c>
      <x:c r="H22" s="54" t="str">
        <x:v>Shared healing becomes 60%.</x:v>
      </x:c>
      <x:c r="I22" s="54" t="str">
        <x:v>Use effective healing after the seed recipient's heal modifiers and HP cap. Do not apply outgoing or received-healing bonuses a second time to the copied amount. It can be reduced by a healing lock but cannot generate another Seed or another Borrowed Spring.</x:v>
      </x:c>
      <x:c r="J22" s="54" t="str">
        <x:v>Original design proposal; user combat constraints and supplied v2 roster</x:v>
      </x:c>
    </x:row>
    <x:row r="23" ht="120" customHeight="1">
      <x:c r="A23" s="54" t="str">
        <x:v>DL4</x:v>
      </x:c>
      <x:c r="B23" s="54" t="str">
        <x:v>Druid</x:v>
      </x:c>
      <x:c r="C23" s="54" t="str">
        <x:v>Lifebloom</x:v>
      </x:c>
      <x:c r="D23" s="54" t="str">
        <x:v>Advanced</x:v>
      </x:c>
      <x:c r="E23" s="54" t="str">
        <x:v>Watchful Canopy</x:v>
      </x:c>
      <x:c r="F23" s="54" t="n">
        <x:v>2</x:v>
      </x:c>
      <x:c r="G23" s="54" t="str">
        <x:v>Instead of its after-hit heal, a Seed can be consumed before a hit projected to remove at least 12% of its holder's maximum HP, reducing that pending HP damage by 10%.</x:v>
      </x:c>
      <x:c r="H23" s="54" t="str">
        <x:v>Reduction becomes 18%.</x:v>
      </x:c>
      <x:c r="I23" s="54" t="str">
        <x:v>Inspect damage after ordinary shields and mitigation, before interception and HP application. Consume the Seed once; it does not also heal. If this protection does not prevent lethal damage, death still resolves normally. Guarded Seed consumption may activate Perennial Heart only after survival.</x:v>
      </x:c>
      <x:c r="J23" s="54" t="str">
        <x:v>Original design proposal; user combat constraints and supplied v2 roster</x:v>
      </x:c>
    </x:row>
    <x:row r="24" ht="120" customHeight="1">
      <x:c r="A24" s="54" t="str">
        <x:v>DL5</x:v>
      </x:c>
      <x:c r="B24" s="54" t="str">
        <x:v>Druid</x:v>
      </x:c>
      <x:c r="C24" s="54" t="str">
        <x:v>Lifebloom</x:v>
      </x:c>
      <x:c r="D24" s="54" t="str">
        <x:v>Capstone</x:v>
      </x:c>
      <x:c r="E24" s="54" t="str">
        <x:v>Perennial Heart</x:v>
      </x:c>
      <x:c r="F24" s="54" t="n">
        <x:v>1</x:v>
      </x:c>
      <x:c r="G24" s="54" t="str">
        <x:v>The first Seed consumed on each core ally automatically replants one Greater Seed: its healing is 0.60 M + 3% H.</x:v>
      </x:c>
      <x:c r="H24" s="54" t="str"/>
      <x:c r="I24" s="54" t="str">
        <x:v>Once per ally per battle. Greater Seed lasts 4 seconds and obeys Seed consumption/protection rules, but cannot replant itself. A normal Seed cannot overwrite a live Greater Seed with a weaker one. This is not resurrection or a pre-death restore.</x:v>
      </x:c>
      <x:c r="J24" s="54" t="str">
        <x:v>Original design proposal; user combat constraints and supplied v2 roster</x:v>
      </x:c>
    </x:row>
    <x:row r="25" ht="120" customHeight="1">
      <x:c r="A25" s="54" t="str">
        <x:v>DT1</x:v>
      </x:c>
      <x:c r="B25" s="54" t="str">
        <x:v>Druid</x:v>
      </x:c>
      <x:c r="C25" s="54" t="str">
        <x:v>Thorn Covenant</x:v>
      </x:c>
      <x:c r="D25" s="54" t="str">
        <x:v>Opening</x:v>
      </x:c>
      <x:c r="E25" s="54" t="str">
        <x:v>Briar Gift</x:v>
      </x:c>
      <x:c r="F25" s="54" t="n">
        <x:v>2</x:v>
      </x:c>
      <x:c r="G25" s="54" t="str">
        <x:v>A personal primary heal or shield grants its primary recipient two Briar charges for 4 seconds. Each adds 0.12 M magic damage to a landed primary basic or damaging active.</x:v>
      </x:c>
      <x:c r="H25" s="54" t="str">
        <x:v>Each charge deals 0.20 M.</x:v>
      </x:c>
      <x:c r="I25" s="54" t="str">
        <x:v>Core allies only; one grant recipient per cast. Two-charge cap; reapplication replenishes to two, not +two. A mixed heal-and-shield counts once. Charge-consumption limit 0.75 seconds per wearer. Thorn damage uses the druid's M and does not change a monster's attack base.</x:v>
      </x:c>
      <x:c r="J25" s="54" t="str">
        <x:v>Original design proposal; user combat constraints and supplied v2 roster</x:v>
      </x:c>
    </x:row>
    <x:row r="26" ht="120" customHeight="1">
      <x:c r="A26" s="54" t="str">
        <x:v>DT2</x:v>
      </x:c>
      <x:c r="B26" s="54" t="str">
        <x:v>Druid</x:v>
      </x:c>
      <x:c r="C26" s="54" t="str">
        <x:v>Thorn Covenant</x:v>
      </x:c>
      <x:c r="D26" s="54" t="str">
        <x:v>Fork A</x:v>
      </x:c>
      <x:c r="E26" s="54" t="str">
        <x:v>Barbed Offering</x:v>
      </x:c>
      <x:c r="F26" s="54" t="n">
        <x:v>2</x:v>
      </x:c>
      <x:c r="G26" s="54" t="str">
        <x:v>A wearer can instead consume a Briar when struck by a landed enemy basic attack, dealing 0.08 M magic damage back.</x:v>
      </x:c>
      <x:c r="H26" s="54" t="str">
        <x:v>Retaliation becomes 0.14 M.</x:v>
      </x:c>
      <x:c r="I26" s="54" t="str">
        <x:v>Requires enemy damage to remove shield HP or HP. Offensive and defensive uses share the same charges and 0.75-second wearer cooldown. Resolve only after wearer survival; no retaliation on the trainer's terminal death.</x:v>
      </x:c>
      <x:c r="J26" s="54" t="str">
        <x:v>Original design proposal; user combat constraints and supplied v2 roster</x:v>
      </x:c>
    </x:row>
    <x:row r="27" ht="120" customHeight="1">
      <x:c r="A27" s="54" t="str">
        <x:v>DT3</x:v>
      </x:c>
      <x:c r="B27" s="54" t="str">
        <x:v>Druid</x:v>
      </x:c>
      <x:c r="C27" s="54" t="str">
        <x:v>Thorn Covenant</x:v>
      </x:c>
      <x:c r="D27" s="54" t="str">
        <x:v>Fork B</x:v>
      </x:c>
      <x:c r="E27" s="54" t="str">
        <x:v>Thornsilk</x:v>
      </x:c>
      <x:c r="F27" s="54" t="n">
        <x:v>2</x:v>
      </x:c>
      <x:c r="G27" s="54" t="str">
        <x:v>Spending a Briar gives its wearer a 0.08 M shield for 2 seconds.</x:v>
      </x:c>
      <x:c r="H27" s="54" t="str">
        <x:v>Shield becomes 0.14 M.</x:v>
      </x:c>
      <x:c r="I27" s="54" t="str">
        <x:v>This talent's shields accumulate to at most 5% H on a wearer; refresh their duration. It is a passive shield and cannot grant Briar charges or trigger primary-shield effects.</x:v>
      </x:c>
      <x:c r="J27" s="54" t="str">
        <x:v>Original design proposal; user combat constraints and supplied v2 roster</x:v>
      </x:c>
    </x:row>
    <x:row r="28" ht="120" customHeight="1">
      <x:c r="A28" s="54" t="str">
        <x:v>DT4</x:v>
      </x:c>
      <x:c r="B28" s="54" t="str">
        <x:v>Druid</x:v>
      </x:c>
      <x:c r="C28" s="54" t="str">
        <x:v>Thorn Covenant</x:v>
      </x:c>
      <x:c r="D28" s="54" t="str">
        <x:v>Advanced</x:v>
      </x:c>
      <x:c r="E28" s="54" t="str">
        <x:v>Sour Sap</x:v>
      </x:c>
      <x:c r="F28" s="54" t="n">
        <x:v>2</x:v>
      </x:c>
      <x:c r="G28" s="54" t="str">
        <x:v>Thorn damage reduces the enemy's healing received by 10% for 3 seconds and weakens its next direct hit within that time by 5%.</x:v>
      </x:c>
      <x:c r="H28" s="54" t="str">
        <x:v>Healing penalty becomes 18%; next-hit reduction becomes 9%.</x:v>
      </x:c>
      <x:c r="I28" s="54" t="str">
        <x:v>Same-source reapplications refresh rather than stack. Only one primary direct hit consumes the damage penalty; it is not an indefinite reduction on every hit of a multi-hit skill. This retains utility against enemies with no healing.</x:v>
      </x:c>
      <x:c r="J28" s="54" t="str">
        <x:v>Original design proposal; user combat constraints and supplied v2 roster</x:v>
      </x:c>
    </x:row>
    <x:row r="29" ht="120" customHeight="1">
      <x:c r="A29" s="54" t="str">
        <x:v>DT5</x:v>
      </x:c>
      <x:c r="B29" s="54" t="str">
        <x:v>Druid</x:v>
      </x:c>
      <x:c r="C29" s="54" t="str">
        <x:v>Thorn Covenant</x:v>
      </x:c>
      <x:c r="D29" s="54" t="str">
        <x:v>Capstone</x:v>
      </x:c>
      <x:c r="E29" s="54" t="str">
        <x:v>Crown of Brambles</x:v>
      </x:c>
      <x:c r="F29" s="54" t="n">
        <x:v>1</x:v>
      </x:c>
      <x:c r="G29" s="54" t="str">
        <x:v>Briar Gift now replenishes to three charges. Spending a charge also heals its wearer for 1% H.</x:v>
      </x:c>
      <x:c r="H29" s="54" t="str"/>
      <x:c r="I29" s="54" t="str">
        <x:v>The healing has one party-shared 1-second cooldown; charges still use their ordinary per-wearer cooldown. It cannot plant a Seed or refill Briars. Use the druid's H, not the wearer's HP, and apply one normal healing-resolution pass.</x:v>
      </x:c>
      <x:c r="J29" s="54" t="str">
        <x:v>Original design proposal; user combat constraints and supplied v2 roster</x:v>
      </x:c>
    </x:row>
    <x:row r="30" ht="120" customHeight="1">
      <x:c r="A30" s="54" t="str">
        <x:v>DG1</x:v>
      </x:c>
      <x:c r="B30" s="54" t="str">
        <x:v>Druid</x:v>
      </x:c>
      <x:c r="C30" s="54" t="str">
        <x:v>Grovekeeper</x:v>
      </x:c>
      <x:c r="D30" s="54" t="str">
        <x:v>Opening</x:v>
      </x:c>
      <x:c r="E30" s="54" t="str">
        <x:v>Heartwood</x:v>
      </x:c>
      <x:c r="F30" s="54" t="n">
        <x:v>2</x:v>
      </x:c>
      <x:c r="G30" s="54" t="str">
        <x:v>Start with one 8-second Heartwood Totem at a legal point near the frontmost core ally: 12% H HP. At seconds 1, 3, 5 and 7, heal one injured core ally in 3R for 0.15 M.</x:v>
      </x:c>
      <x:c r="H30" s="54" t="str">
        <x:v>Pulse healing becomes 0.25 M.</x:v>
      </x:c>
      <x:c r="I30" s="54" t="str">
        <x:v>Maximum one; one shared heal per pulse, not one per ally. If absent, the next personal active redeploys it no sooner than 10 seconds after last deployment. Cannot move or refresh an existing tree. The druid's death removes it. Ordinary healing does not select it.</x:v>
      </x:c>
      <x:c r="J30" s="54" t="str">
        <x:v>Original design proposal; user combat constraints and supplied v2 roster</x:v>
      </x:c>
    </x:row>
    <x:row r="31" ht="120" customHeight="1">
      <x:c r="A31" s="54" t="str">
        <x:v>DG2</x:v>
      </x:c>
      <x:c r="B31" s="54" t="str">
        <x:v>Druid</x:v>
      </x:c>
      <x:c r="C31" s="54" t="str">
        <x:v>Grovekeeper</x:v>
      </x:c>
      <x:c r="D31" s="54" t="str">
        <x:v>Fork A</x:v>
      </x:c>
      <x:c r="E31" s="54" t="str">
        <x:v>Nurse Roots</x:v>
      </x:c>
      <x:c r="F31" s="54" t="n">
        <x:v>2</x:v>
      </x:c>
      <x:c r="G31" s="54" t="str">
        <x:v>Each Heartwood pulse may also repair one injured allied summon or structure in range for 0.5% H.</x:v>
      </x:c>
      <x:c r="H31" s="54" t="str">
        <x:v>Repair becomes 1% H.</x:v>
      </x:c>
      <x:c r="I31" s="54" t="str">
        <x:v>One target per pulse; exclude Heartwood itself and other Heartwood Totems. Respect target's original max HP and lifetime. No resurrection, duration reset, proc generation or repair loops. This is an explicit exception to ordinary core-only healing.</x:v>
      </x:c>
      <x:c r="J31" s="54" t="str">
        <x:v>Original design proposal; user combat constraints and supplied v2 roster</x:v>
      </x:c>
    </x:row>
    <x:row r="32" ht="120" customHeight="1">
      <x:c r="A32" s="54" t="str">
        <x:v>DG3</x:v>
      </x:c>
      <x:c r="B32" s="54" t="str">
        <x:v>Druid</x:v>
      </x:c>
      <x:c r="C32" s="54" t="str">
        <x:v>Grovekeeper</x:v>
      </x:c>
      <x:c r="D32" s="54" t="str">
        <x:v>Fork B</x:v>
      </x:c>
      <x:c r="E32" s="54" t="str">
        <x:v>Sheltering Bough</x:v>
      </x:c>
      <x:c r="F32" s="54" t="n">
        <x:v>2</x:v>
      </x:c>
      <x:c r="G32" s="54" t="str">
        <x:v>Deploying Heartwood shields you and the lowest-HP-percentage other core ally for 0.20 M + 1% H each, lasting 3 seconds.</x:v>
      </x:c>
      <x:c r="H32" s="54" t="str">
        <x:v>Each shield becomes 0.35 M + 1% H.</x:v>
      </x:c>
      <x:c r="I32" s="54" t="str">
        <x:v>Exactly two distinct core allies when another is alive. Deployment shields are passive; they cannot grant Seeds or Briars. A failed/blocked placement must use a nearby legal location rather than duplicate a tree.</x:v>
      </x:c>
      <x:c r="J32" s="54" t="str">
        <x:v>Original design proposal; user combat constraints and supplied v2 roster</x:v>
      </x:c>
    </x:row>
    <x:row r="33" ht="120" customHeight="1">
      <x:c r="A33" s="54" t="str">
        <x:v>DG4</x:v>
      </x:c>
      <x:c r="B33" s="54" t="str">
        <x:v>Druid</x:v>
      </x:c>
      <x:c r="C33" s="54" t="str">
        <x:v>Grovekeeper</x:v>
      </x:c>
      <x:c r="D33" s="54" t="str">
        <x:v>Advanced</x:v>
      </x:c>
      <x:c r="E33" s="54" t="str">
        <x:v>Wild Grafting</x:v>
      </x:c>
      <x:c r="F33" s="54" t="n">
        <x:v>2</x:v>
      </x:c>
      <x:c r="G33" s="54" t="str">
        <x:v>A personal primary heal or shield while Heartwood lives adds 0.12 M to its next healing pulse.</x:v>
      </x:c>
      <x:c r="H33" s="54" t="str">
        <x:v>Stored healing becomes 0.22 M.</x:v>
      </x:c>
      <x:c r="I33" s="54" t="str">
        <x:v>One charge, refreshed but not stacked. If no injured eligible core ally is in range, the pulse does not spend the healing charge. Clear it on tree destruction or expiry. Do not count the tree's own pulses as personal casts.</x:v>
      </x:c>
      <x:c r="J33" s="54" t="str">
        <x:v>Original design proposal; user combat constraints and supplied v2 roster</x:v>
      </x:c>
    </x:row>
    <x:row r="34" ht="120" customHeight="1">
      <x:c r="A34" s="54" t="str">
        <x:v>DG5</x:v>
      </x:c>
      <x:c r="B34" s="54" t="str">
        <x:v>Druid</x:v>
      </x:c>
      <x:c r="C34" s="54" t="str">
        <x:v>Grovekeeper</x:v>
      </x:c>
      <x:c r="D34" s="54" t="str">
        <x:v>Capstone</x:v>
      </x:c>
      <x:c r="E34" s="54" t="str">
        <x:v>Forest Warden</x:v>
      </x:c>
      <x:c r="F34" s="54" t="n">
        <x:v>1</x:v>
      </x:c>
      <x:c r="G34" s="54" t="str">
        <x:v>Each Heartwood deployment also grows one rooted Barkling beside the frontmost core ally: 8% H HP, a 0.20 M magic melee attack every 2 seconds, and 20% interception of that ally's direct single-target damage.</x:v>
      </x:c>
      <x:c r="H34" s="54" t="str"/>
      <x:c r="I34" s="54" t="str">
        <x:v>One Barkling, first attack after 1 second if an enemy is legally reachable. Its total life ends with Heartwood; killing the tree destroys it. Interception is limited by remaining Barkling HP, bypassed by AoE, and cannot stack with another interceptor or reapply mitigation. It does not chase. Nurse Roots may repair it without extending life.</x:v>
      </x:c>
      <x:c r="J34" s="54" t="str">
        <x:v>Original design proposal; user combat constraints and supplied v2 roster</x:v>
      </x:c>
    </x:row>
    <x:row r="35" ht="120" customHeight="1">
      <x:c r="A35" s="54" t="str">
        <x:v>KB1</x:v>
      </x:c>
      <x:c r="B35" s="54" t="str">
        <x:v>Knight</x:v>
      </x:c>
      <x:c r="C35" s="54" t="str">
        <x:v>Bastion</x:v>
      </x:c>
      <x:c r="D35" s="54" t="str">
        <x:v>Opening</x:v>
      </x:c>
      <x:c r="E35" s="54" t="str">
        <x:v>Layered Guard</x:v>
      </x:c>
      <x:c r="F35" s="54" t="n">
        <x:v>2</x:v>
      </x:c>
      <x:c r="G35" s="54" t="str">
        <x:v>Every personal active adds a 3-second self-shield equal to 2% H.</x:v>
      </x:c>
      <x:c r="H35" s="54" t="str">
        <x:v>Shield grant becomes 3.5% H.</x:v>
      </x:c>
      <x:c r="I35" s="54" t="str">
        <x:v>This talent's pool accumulates to at most 8% H; new grants refresh its duration. One application per actual equipped-skill cast.</x:v>
      </x:c>
      <x:c r="J35" s="54" t="str">
        <x:v>Original design proposal; user combat constraints and supplied v2 roster</x:v>
      </x:c>
    </x:row>
    <x:row r="36" ht="120" customHeight="1">
      <x:c r="A36" s="54" t="str">
        <x:v>KB2</x:v>
      </x:c>
      <x:c r="B36" s="54" t="str">
        <x:v>Knight</x:v>
      </x:c>
      <x:c r="C36" s="54" t="str">
        <x:v>Bastion</x:v>
      </x:c>
      <x:c r="D36" s="54" t="str">
        <x:v>Fork A</x:v>
      </x:c>
      <x:c r="E36" s="54" t="str">
        <x:v>Measured Blow</x:v>
      </x:c>
      <x:c r="F36" s="54" t="n">
        <x:v>2</x:v>
      </x:c>
      <x:c r="G36" s="54" t="str">
        <x:v>At battle start, and after a defensive personal active, reduce the next direct enemy hit within 3 seconds by 12%.</x:v>
      </x:c>
      <x:c r="H36" s="54" t="str">
        <x:v>Reduction becomes 20%.</x:v>
      </x:c>
      <x:c r="I36" s="54" t="str">
        <x:v>One charge and a shared 4-second grant cooldown. A defensive active has a primary self-heal, self-shield, guard or incoming-damage-reduction component. Multiple mitigation effects multiply; they are not added into immunity.</x:v>
      </x:c>
      <x:c r="J36" s="54" t="str">
        <x:v>Original design proposal; user combat constraints and supplied v2 roster</x:v>
      </x:c>
    </x:row>
    <x:row r="37" ht="120" customHeight="1">
      <x:c r="A37" s="54" t="str">
        <x:v>KB3</x:v>
      </x:c>
      <x:c r="B37" s="54" t="str">
        <x:v>Knight</x:v>
      </x:c>
      <x:c r="C37" s="54" t="str">
        <x:v>Bastion</x:v>
      </x:c>
      <x:c r="D37" s="54" t="str">
        <x:v>Fork B</x:v>
      </x:c>
      <x:c r="E37" s="54" t="str">
        <x:v>Shieldwall</x:v>
      </x:c>
      <x:c r="F37" s="54" t="n">
        <x:v>2</x:v>
      </x:c>
      <x:c r="G37" s="54" t="str">
        <x:v>While you have an ordinary personal shield, your two core monsters take 5% less direct damage.</x:v>
      </x:c>
      <x:c r="H37" s="54" t="str">
        <x:v>Reduction becomes 9%.</x:v>
      </x:c>
      <x:c r="I37" s="54" t="str">
        <x:v>The knight does not receive this aura's reduction. Summons, structures and shared party-barrier pools are not eligible bearers/qualifying personal shields. Check the knight's shield state when each hit resolves.</x:v>
      </x:c>
      <x:c r="J37" s="54" t="str">
        <x:v>Original design proposal; user combat constraints and supplied v2 roster</x:v>
      </x:c>
    </x:row>
    <x:row r="38" ht="120" customHeight="1">
      <x:c r="A38" s="54" t="str">
        <x:v>KB4</x:v>
      </x:c>
      <x:c r="B38" s="54" t="str">
        <x:v>Knight</x:v>
      </x:c>
      <x:c r="C38" s="54" t="str">
        <x:v>Bastion</x:v>
      </x:c>
      <x:c r="D38" s="54" t="str">
        <x:v>Advanced</x:v>
      </x:c>
      <x:c r="E38" s="54" t="str">
        <x:v>Bent, Not Broken</x:v>
      </x:c>
      <x:c r="F38" s="54" t="n">
        <x:v>2</x:v>
      </x:c>
      <x:c r="G38" s="54" t="str">
        <x:v>Defer 12% of post-mitigation, post-shield direct HP damage into Stagger debt, paid over 3 seconds.</x:v>
      </x:c>
      <x:c r="H38" s="54" t="str">
        <x:v>Deferred share becomes 20%.</x:v>
      </x:c>
      <x:c r="I38" s="54" t="str">
        <x:v>Apply after any single eligible interceptor. Outstanding debt capped at 20% H; any excess stays immediate. Debt pays in fixed ticks, cannot be mitigated/redirected/shielded again, and creates no on-hit, counter or low-HP emergency procs. Ordinary HP death still applies to its ticks. Existing debt timing cannot be postponed by adding debt.</x:v>
      </x:c>
      <x:c r="J38" s="54" t="str">
        <x:v>Original design proposal; user combat constraints and supplied v2 roster</x:v>
      </x:c>
    </x:row>
    <x:row r="39" ht="120" customHeight="1">
      <x:c r="A39" s="54" t="str">
        <x:v>KB5</x:v>
      </x:c>
      <x:c r="B39" s="54" t="str">
        <x:v>Knight</x:v>
      </x:c>
      <x:c r="C39" s="54" t="str">
        <x:v>Bastion</x:v>
      </x:c>
      <x:c r="D39" s="54" t="str">
        <x:v>Capstone</x:v>
      </x:c>
      <x:c r="E39" s="54" t="str">
        <x:v>Citadel Heart</x:v>
      </x:c>
      <x:c r="F39" s="54" t="n">
        <x:v>1</x:v>
      </x:c>
      <x:c r="G39" s="54" t="str">
        <x:v>Effective healing you receive additionally removes Stagger debt equal to 25% of the HP actually restored.</x:v>
      </x:c>
      <x:c r="H39" s="54" t="str"/>
      <x:c r="I39" s="54" t="str">
        <x:v>Debt removal is not healing and produces no further proc. Overhealing does not remove debt. If no debt exists, the bonus is lost rather than converted into a shield. Never act after a lethal hit or debt tick.</x:v>
      </x:c>
      <x:c r="J39" s="54" t="str">
        <x:v>Original design proposal; user combat constraints and supplied v2 roster</x:v>
      </x:c>
    </x:row>
    <x:row r="40" ht="120" customHeight="1">
      <x:c r="A40" s="54" t="str">
        <x:v>KR1</x:v>
      </x:c>
      <x:c r="B40" s="54" t="str">
        <x:v>Knight</x:v>
      </x:c>
      <x:c r="C40" s="54" t="str">
        <x:v>Iron Reprisal</x:v>
      </x:c>
      <x:c r="D40" s="54" t="str">
        <x:v>Opening</x:v>
      </x:c>
      <x:c r="E40" s="54" t="str">
        <x:v>Reprisal</x:v>
      </x:c>
      <x:c r="F40" s="54" t="n">
        <x:v>2</x:v>
      </x:c>
      <x:c r="G40" s="54" t="str">
        <x:v>Start with one Resolve. A personal active or enemy direct hit that damages you/your shield grants one, up to three. At three, your next landed basic spends them for +0.30 A physical damage.</x:v>
      </x:c>
      <x:c r="H40" s="54" t="str">
        <x:v>Counter bonus becomes 0.50 A.</x:v>
      </x:c>
      <x:c r="I40" s="54" t="str">
        <x:v>All Resolve gains share a 1-second cooldown. Intercepted damage that causes neither shield nor HP loss cannot grant it. Stagger debt and passive damage are excluded. Consume only on a landed personal basic; one counter packet, not a new basic action.</x:v>
      </x:c>
      <x:c r="J40" s="54" t="str">
        <x:v>Original design proposal; user combat constraints and supplied v2 roster</x:v>
      </x:c>
    </x:row>
    <x:row r="41" ht="120" customHeight="1">
      <x:c r="A41" s="54" t="str">
        <x:v>KR2</x:v>
      </x:c>
      <x:c r="B41" s="54" t="str">
        <x:v>Knight</x:v>
      </x:c>
      <x:c r="C41" s="54" t="str">
        <x:v>Iron Reprisal</x:v>
      </x:c>
      <x:c r="D41" s="54" t="str">
        <x:v>Fork A</x:v>
      </x:c>
      <x:c r="E41" s="54" t="str">
        <x:v>Iron Appetite</x:v>
      </x:c>
      <x:c r="F41" s="54" t="n">
        <x:v>2</x:v>
      </x:c>
      <x:c r="G41" s="54" t="str">
        <x:v>A Reprisal bonus heals you for 10% of the actual damage that bonus dealt.</x:v>
      </x:c>
      <x:c r="H41" s="54" t="str">
        <x:v>Healing becomes 18%.</x:v>
      </x:c>
      <x:c r="I41" s="54" t="str">
        <x:v>Healing capped at 2% H per counter. Use only Reprisal's primary-target bonus damage, not the underlying basic or capstone splash. Resolve after target damage and while the knight lives.</x:v>
      </x:c>
      <x:c r="J41" s="54" t="str">
        <x:v>Original design proposal; user combat constraints and supplied v2 roster</x:v>
      </x:c>
    </x:row>
    <x:row r="42" ht="120" customHeight="1">
      <x:c r="A42" s="54" t="str">
        <x:v>KR3</x:v>
      </x:c>
      <x:c r="B42" s="54" t="str">
        <x:v>Knight</x:v>
      </x:c>
      <x:c r="C42" s="54" t="str">
        <x:v>Iron Reprisal</x:v>
      </x:c>
      <x:c r="D42" s="54" t="str">
        <x:v>Fork B</x:v>
      </x:c>
      <x:c r="E42" s="54" t="str">
        <x:v>Duelist's Claim</x:v>
      </x:c>
      <x:c r="F42" s="54" t="n">
        <x:v>2</x:v>
      </x:c>
      <x:c r="G42" s="54" t="str">
        <x:v>Reprisal makes its enemy deal 6% less basic-attack damage for 2 seconds.</x:v>
      </x:c>
      <x:c r="H42" s="54" t="str">
        <x:v>Reduction becomes 10%.</x:v>
      </x:c>
      <x:c r="I42" s="54" t="str">
        <x:v>Apply once to the primary counter target. Refresh, do not stack. This does not weaken its spells or all active skills, leaving caster matchups distinct.</x:v>
      </x:c>
      <x:c r="J42" s="54" t="str">
        <x:v>Original design proposal; user combat constraints and supplied v2 roster</x:v>
      </x:c>
    </x:row>
    <x:row r="43" ht="120" customHeight="1">
      <x:c r="A43" s="54" t="str">
        <x:v>KR4</x:v>
      </x:c>
      <x:c r="B43" s="54" t="str">
        <x:v>Knight</x:v>
      </x:c>
      <x:c r="C43" s="54" t="str">
        <x:v>Iron Reprisal</x:v>
      </x:c>
      <x:c r="D43" s="54" t="str">
        <x:v>Advanced</x:v>
      </x:c>
      <x:c r="E43" s="54" t="str">
        <x:v>Red Ledger</x:v>
      </x:c>
      <x:c r="F43" s="54" t="n">
        <x:v>2</x:v>
      </x:c>
      <x:c r="G43" s="54" t="str">
        <x:v>Reprisal primes your next damaging active within 4 seconds for +0.25 A physical damage.</x:v>
      </x:c>
      <x:c r="H43" s="54" t="str">
        <x:v>Primed bonus becomes 0.45 A.</x:v>
      </x:c>
      <x:c r="I43" s="54" t="str">
        <x:v>One charge. It adds a primary-target secondary packet rather than multiplying every hit. Consuming it does not itself grant Resolve; the underlying real active can grant Resolve normally.</x:v>
      </x:c>
      <x:c r="J43" s="54" t="str">
        <x:v>Original design proposal; user combat constraints and supplied v2 roster</x:v>
      </x:c>
    </x:row>
    <x:row r="44" ht="120" customHeight="1">
      <x:c r="A44" s="54" t="str">
        <x:v>KR5</x:v>
      </x:c>
      <x:c r="B44" s="54" t="str">
        <x:v>Knight</x:v>
      </x:c>
      <x:c r="C44" s="54" t="str">
        <x:v>Iron Reprisal</x:v>
      </x:c>
      <x:c r="D44" s="54" t="str">
        <x:v>Capstone</x:v>
      </x:c>
      <x:c r="E44" s="54" t="str">
        <x:v>King's Answer</x:v>
      </x:c>
      <x:c r="F44" s="54" t="n">
        <x:v>1</x:v>
      </x:c>
      <x:c r="G44" s="54" t="str">
        <x:v>Reprisal also gives a 4% H self-shield for 2 seconds and splashes 35% of its counter bonus onto up to two other enemies within 1.5R of the primary target.</x:v>
      </x:c>
      <x:c r="H44" s="54" t="str"/>
      <x:c r="I44" s="54" t="str">
        <x:v>Shield is granted once per counter. Splash does not carry Iron Appetite, Duelist's Claim, Red Ledger or additional Reprisal triggers. Missing secondary targets do not increase boss damage.</x:v>
      </x:c>
      <x:c r="J44" s="54" t="str">
        <x:v>Original design proposal; user combat constraints and supplied v2 roster</x:v>
      </x:c>
    </x:row>
    <x:row r="45" ht="120" customHeight="1">
      <x:c r="A45" s="54" t="str">
        <x:v>KN1</x:v>
      </x:c>
      <x:c r="B45" s="54" t="str">
        <x:v>Knight</x:v>
      </x:c>
      <x:c r="C45" s="54" t="str">
        <x:v>Bannerlord</x:v>
      </x:c>
      <x:c r="D45" s="54" t="str">
        <x:v>Opening</x:v>
      </x:c>
      <x:c r="E45" s="54" t="str">
        <x:v>Rallying Standard</x:v>
      </x:c>
      <x:c r="F45" s="54" t="n">
        <x:v>2</x:v>
      </x:c>
      <x:c r="G45" s="54" t="str">
        <x:v>A personal active primes each living core ally's next basic within 4 seconds to deal 8% more primary damage.</x:v>
      </x:c>
      <x:c r="H45" s="54" t="str">
        <x:v>Basic enhancement becomes 14%.</x:v>
      </x:c>
      <x:c r="I45" s="54" t="str">
        <x:v>One charge per core ally, not stackable; party grant cooldown 2 seconds. Uses each unit's own normal damage type and primary stat. Summons and structures are excluded.</x:v>
      </x:c>
      <x:c r="J45" s="54" t="str">
        <x:v>Original design proposal; user combat constraints and supplied v2 roster</x:v>
      </x:c>
    </x:row>
    <x:row r="46" ht="120" customHeight="1">
      <x:c r="A46" s="54" t="str">
        <x:v>KN2</x:v>
      </x:c>
      <x:c r="B46" s="54" t="str">
        <x:v>Knight</x:v>
      </x:c>
      <x:c r="C46" s="54" t="str">
        <x:v>Bannerlord</x:v>
      </x:c>
      <x:c r="D46" s="54" t="str">
        <x:v>Fork A</x:v>
      </x:c>
      <x:c r="E46" s="54" t="str">
        <x:v>Shared Vanguard</x:v>
      </x:c>
      <x:c r="F46" s="54" t="n">
        <x:v>2</x:v>
      </x:c>
      <x:c r="G46" s="54" t="str">
        <x:v>Core monsters attacking your current enemy gain +12 HIT.</x:v>
      </x:c>
      <x:c r="H46" s="54" t="str">
        <x:v>Accuracy bonus becomes +20 HIT.</x:v>
      </x:c>
      <x:c r="I46" s="54" t="str">
        <x:v>Applies only against the knight's current legal target. It does not force retargeting or let a melee companion attack through an unreachable position.</x:v>
      </x:c>
      <x:c r="J46" s="54" t="str">
        <x:v>Original design proposal; user combat constraints and supplied v2 roster</x:v>
      </x:c>
    </x:row>
    <x:row r="47" ht="120" customHeight="1">
      <x:c r="A47" s="54" t="str">
        <x:v>KN3</x:v>
      </x:c>
      <x:c r="B47" s="54" t="str">
        <x:v>Knight</x:v>
      </x:c>
      <x:c r="C47" s="54" t="str">
        <x:v>Bannerlord</x:v>
      </x:c>
      <x:c r="D47" s="54" t="str">
        <x:v>Fork B</x:v>
      </x:c>
      <x:c r="E47" s="54" t="str">
        <x:v>Shielded March</x:v>
      </x:c>
      <x:c r="F47" s="54" t="n">
        <x:v>2</x:v>
      </x:c>
      <x:c r="G47" s="54" t="str">
        <x:v>A defensive personal active shields each living core monster for 1.5% H for 2 seconds.</x:v>
      </x:c>
      <x:c r="H47" s="54" t="str">
        <x:v>Each shield becomes 2.5% H.</x:v>
      </x:c>
      <x:c r="I47" s="54" t="str">
        <x:v>Uses the knight's H. Same defensive-active tags as Measured Blow. No grant to the trainer or temporary entities; each cast is at most one grant per eligible monster.</x:v>
      </x:c>
      <x:c r="J47" s="54" t="str">
        <x:v>Original design proposal; user combat constraints and supplied v2 roster</x:v>
      </x:c>
    </x:row>
    <x:row r="48" ht="120" customHeight="1">
      <x:c r="A48" s="54" t="str">
        <x:v>KN4</x:v>
      </x:c>
      <x:c r="B48" s="54" t="str">
        <x:v>Knight</x:v>
      </x:c>
      <x:c r="C48" s="54" t="str">
        <x:v>Bannerlord</x:v>
      </x:c>
      <x:c r="D48" s="54" t="str">
        <x:v>Advanced</x:v>
      </x:c>
      <x:c r="E48" s="54" t="str">
        <x:v>Call and Answer</x:v>
      </x:c>
      <x:c r="F48" s="54" t="n">
        <x:v>2</x:v>
      </x:c>
      <x:c r="G48" s="54" t="str">
        <x:v>Every three core-monster personal active casts prime your next damaging active within 4 seconds for +0.30 A physical damage.</x:v>
      </x:c>
      <x:c r="H48" s="54" t="str">
        <x:v>Bonus becomes 0.50 A.</x:v>
      </x:c>
      <x:c r="I48" s="54" t="str">
        <x:v>Shared tally across the two core monsters with a 0.75-second count cooldown; maximum one primed charge. Summon actions, pulses and passive echoes do not count. Counts are discarded while a charge waits.</x:v>
      </x:c>
      <x:c r="J48" s="54" t="str">
        <x:v>Original design proposal; user combat constraints and supplied v2 roster</x:v>
      </x:c>
    </x:row>
    <x:row r="49" ht="120" customHeight="1">
      <x:c r="A49" s="54" t="str">
        <x:v>KN5</x:v>
      </x:c>
      <x:c r="B49" s="54" t="str">
        <x:v>Knight</x:v>
      </x:c>
      <x:c r="C49" s="54" t="str">
        <x:v>Bannerlord</x:v>
      </x:c>
      <x:c r="D49" s="54" t="str">
        <x:v>Capstone</x:v>
      </x:c>
      <x:c r="E49" s="54" t="str">
        <x:v>Banner of Three</x:v>
      </x:c>
      <x:c r="F49" s="54" t="n">
        <x:v>1</x:v>
      </x:c>
      <x:c r="G49" s="54" t="str">
        <x:v>When the trainer and both core monsters land primary hits on the same enemy within 3 seconds, strike it for 0.70 A + 0.15 P1 + 0.15 P2 physical damage.</x:v>
      </x:c>
      <x:c r="H49" s="54" t="str"/>
      <x:c r="I49" s="54" t="str">
        <x:v>4-second global cooldown. P1/P2 are each core monster's declared primary attack stat (ATK for STR/DEX attackers, MATK for INT attackers), never whichever stat is higher. One contribution per core unit. Reset the three-unit record after triggering; passive hits cannot fill it. A dead or out-of-reach companion cannot contribute.</x:v>
      </x:c>
      <x:c r="J49" s="54" t="str">
        <x:v>Original design proposal; user combat constraints and supplied v2 roster</x:v>
      </x:c>
    </x:row>
    <x:row r="50" ht="120" customHeight="1">
      <x:c r="A50" s="54" t="str">
        <x:v>HD1</x:v>
      </x:c>
      <x:c r="B50" s="54" t="str">
        <x:v>Hunter</x:v>
      </x:c>
      <x:c r="C50" s="54" t="str">
        <x:v>Deadeye</x:v>
      </x:c>
      <x:c r="D50" s="54" t="str">
        <x:v>Opening</x:v>
      </x:c>
      <x:c r="E50" s="54" t="str">
        <x:v>Patient Aim</x:v>
      </x:c>
      <x:c r="F50" s="54" t="n">
        <x:v>2</x:v>
      </x:c>
      <x:c r="G50" s="54" t="str">
        <x:v>Landed personal basics against your Quarry add Focus, up to three. Each stack grants +3 CRIT.</x:v>
      </x:c>
      <x:c r="H50" s="54" t="str">
        <x:v>Each stack grants +5 CRIT.</x:v>
      </x:c>
      <x:c r="I50" s="54" t="str">
        <x:v>CRIT is the game's rating, not an unconditional final percent. Focus lasts until consumed or permanent Quarry change; no out-of-combat storage. A temporary target diversion pauses generation without granting new-opening bonuses.</x:v>
      </x:c>
      <x:c r="J50" s="54" t="str">
        <x:v>Original design proposal; user combat constraints and supplied v2 roster</x:v>
      </x:c>
    </x:row>
    <x:row r="51" ht="120" customHeight="1">
      <x:c r="A51" s="54" t="str">
        <x:v>HD2</x:v>
      </x:c>
      <x:c r="B51" s="54" t="str">
        <x:v>Hunter</x:v>
      </x:c>
      <x:c r="C51" s="54" t="str">
        <x:v>Deadeye</x:v>
      </x:c>
      <x:c r="D51" s="54" t="str">
        <x:v>Fork A</x:v>
      </x:c>
      <x:c r="E51" s="54" t="str">
        <x:v>Needlepoint</x:v>
      </x:c>
      <x:c r="F51" s="54" t="n">
        <x:v>2</x:v>
      </x:c>
      <x:c r="G51" s="54" t="str">
        <x:v>Your landed critical basics add 0.08 A physical damage.</x:v>
      </x:c>
      <x:c r="H51" s="54" t="str">
        <x:v>Added damage becomes 0.14 A.</x:v>
      </x:c>
      <x:c r="I51" s="54" t="str">
        <x:v>Shared 0.75-second trigger cooldown. The bonus is not another critical/basic event. It does not assume criticals ignore armor or deal any particular universal damage multiplier.</x:v>
      </x:c>
      <x:c r="J51" s="54" t="str">
        <x:v>Original design proposal; user combat constraints and supplied v2 roster</x:v>
      </x:c>
    </x:row>
    <x:row r="52" ht="120" customHeight="1">
      <x:c r="A52" s="54" t="str">
        <x:v>HD3</x:v>
      </x:c>
      <x:c r="B52" s="54" t="str">
        <x:v>Hunter</x:v>
      </x:c>
      <x:c r="C52" s="54" t="str">
        <x:v>Deadeye</x:v>
      </x:c>
      <x:c r="D52" s="54" t="str">
        <x:v>Fork B</x:v>
      </x:c>
      <x:c r="E52" s="54" t="str">
        <x:v>Fresh Sight</x:v>
      </x:c>
      <x:c r="F52" s="54" t="n">
        <x:v>2</x:v>
      </x:c>
      <x:c r="G52" s="54" t="str">
        <x:v>At initial acquisition and permanent replacement of a dead Quarry, start with one Focus.</x:v>
      </x:c>
      <x:c r="H52" s="54" t="str">
        <x:v>Start with two Focus.</x:v>
      </x:c>
      <x:c r="I52" s="54" t="str">
        <x:v>Set the opening amount; do not add it repeatedly. Does not trigger on temporary taunts, decoys, invalid clicks, or reselecting the same living enemy. This gives it value in a one-boss encounter.</x:v>
      </x:c>
      <x:c r="J52" s="54" t="str">
        <x:v>Original design proposal; user combat constraints and supplied v2 roster</x:v>
      </x:c>
    </x:row>
    <x:row r="53" ht="120" customHeight="1">
      <x:c r="A53" s="54" t="str">
        <x:v>HD4</x:v>
      </x:c>
      <x:c r="B53" s="54" t="str">
        <x:v>Hunter</x:v>
      </x:c>
      <x:c r="C53" s="54" t="str">
        <x:v>Deadeye</x:v>
      </x:c>
      <x:c r="D53" s="54" t="str">
        <x:v>Advanced</x:v>
      </x:c>
      <x:c r="E53" s="54" t="str">
        <x:v>Called Shot</x:v>
      </x:c>
      <x:c r="F53" s="54" t="n">
        <x:v>2</x:v>
      </x:c>
      <x:c r="G53" s="54" t="str">
        <x:v>A damaging personal active begun at three Focus spends one stack and adds 0.30 A physical damage to its primary hit.</x:v>
      </x:c>
      <x:c r="H53" s="54" t="str">
        <x:v>Added damage becomes 0.50 A.</x:v>
      </x:c>
      <x:c r="I53" s="54" t="str">
        <x:v>Check and consume once at cast start. No refund if the empowered primary hit misses or becomes invalid. Only the extra packet is affected by its own explicit modifiers; it does not multiply AoE or multi-hit components.</x:v>
      </x:c>
      <x:c r="J53" s="54" t="str">
        <x:v>Original design proposal; user combat constraints and supplied v2 roster</x:v>
      </x:c>
    </x:row>
    <x:row r="54" ht="120" customHeight="1">
      <x:c r="A54" s="54" t="str">
        <x:v>HD5</x:v>
      </x:c>
      <x:c r="B54" s="54" t="str">
        <x:v>Hunter</x:v>
      </x:c>
      <x:c r="C54" s="54" t="str">
        <x:v>Deadeye</x:v>
      </x:c>
      <x:c r="D54" s="54" t="str">
        <x:v>Capstone</x:v>
      </x:c>
      <x:c r="E54" s="54" t="str">
        <x:v>One Perfect Arrow</x:v>
      </x:c>
      <x:c r="F54" s="54" t="n">
        <x:v>1</x:v>
      </x:c>
      <x:c r="G54" s="54" t="str">
        <x:v>Every third landed personal critical basic stores a Perfect Arrow. Your next damaging active adds a guaranteed-hit 0.90 A physical packet to its primary target.</x:v>
      </x:c>
      <x:c r="H54" s="54" t="str"/>
      <x:c r="I54" s="54" t="str">
        <x:v>One stored Arrow; pause critical tally while stored. Its extra packet ignores HIT/FLEE, not mitigation, shields, legal range or invulnerability. It cannot crit or advance its own tally, and does not make the underlying active guaranteed-hit.</x:v>
      </x:c>
      <x:c r="J54" s="54" t="str">
        <x:v>Original design proposal; user combat constraints and supplied v2 roster</x:v>
      </x:c>
    </x:row>
    <x:row r="55" ht="120" customHeight="1">
      <x:c r="A55" s="54" t="str">
        <x:v>HP1</x:v>
      </x:c>
      <x:c r="B55" s="54" t="str">
        <x:v>Hunter</x:v>
      </x:c>
      <x:c r="C55" s="54" t="str">
        <x:v>Packleader</x:v>
      </x:c>
      <x:c r="D55" s="54" t="str">
        <x:v>Opening</x:v>
      </x:c>
      <x:c r="E55" s="54" t="str">
        <x:v>Hunting Signal</x:v>
      </x:c>
      <x:c r="F55" s="54" t="n">
        <x:v>2</x:v>
      </x:c>
      <x:c r="G55" s="54" t="str">
        <x:v>Your damaging personal active marks its primary enemy for 3 seconds. Core monsters deal 6% more primary direct damage to it.</x:v>
      </x:c>
      <x:c r="H55" s="54" t="str">
        <x:v>Damage bonus becomes 10%.</x:v>
      </x:c>
      <x:c r="I55" s="54" t="str">
        <x:v>One signaled enemy at a time. Only landed legal primary hits establish the mark. Includes monster basics and their equipped damaging actives, but not passives, summons or periodic effects.</x:v>
      </x:c>
      <x:c r="J55" s="54" t="str">
        <x:v>Original design proposal; user combat constraints and supplied v2 roster</x:v>
      </x:c>
    </x:row>
    <x:row r="56" ht="120" customHeight="1">
      <x:c r="A56" s="54" t="str">
        <x:v>HP2</x:v>
      </x:c>
      <x:c r="B56" s="54" t="str">
        <x:v>Hunter</x:v>
      </x:c>
      <x:c r="C56" s="54" t="str">
        <x:v>Packleader</x:v>
      </x:c>
      <x:c r="D56" s="54" t="str">
        <x:v>Fork A</x:v>
      </x:c>
      <x:c r="E56" s="54" t="str">
        <x:v>Predator's Rhythm</x:v>
      </x:c>
      <x:c r="F56" s="54" t="n">
        <x:v>2</x:v>
      </x:c>
      <x:c r="G56" s="54" t="str">
        <x:v>Each distinct core monster landing a primary hit on the signaled enemy grants you 4% shorter basic-attack interval for 3 seconds.</x:v>
      </x:c>
      <x:c r="H56" s="54" t="str">
        <x:v>Each distinct monster grants 7%.</x:v>
      </x:c>
      <x:c r="I56" s="54" t="str">
        <x:v>Maximum two distinct-monster contributions, summed within this talent to 8%/14% interval reduction. Refresh each contributor separately. Respect the game's attack-speed ceiling; no effect on active cooldowns.</x:v>
      </x:c>
      <x:c r="J56" s="54" t="str">
        <x:v>Original design proposal; user combat constraints and supplied v2 roster</x:v>
      </x:c>
    </x:row>
    <x:row r="57" ht="120" customHeight="1">
      <x:c r="A57" s="54" t="str">
        <x:v>HP3</x:v>
      </x:c>
      <x:c r="B57" s="54" t="str">
        <x:v>Hunter</x:v>
      </x:c>
      <x:c r="C57" s="54" t="str">
        <x:v>Packleader</x:v>
      </x:c>
      <x:c r="D57" s="54" t="str">
        <x:v>Fork B</x:v>
      </x:c>
      <x:c r="E57" s="54" t="str">
        <x:v>Pack Instinct</x:v>
      </x:c>
      <x:c r="F57" s="54" t="n">
        <x:v>2</x:v>
      </x:c>
      <x:c r="G57" s="54" t="str">
        <x:v>While both equipped monsters remain alive, take 3% less direct damage.</x:v>
      </x:c>
      <x:c r="H57" s="54" t="str">
        <x:v>Reduction becomes 5%.</x:v>
      </x:c>
      <x:c r="I57" s="54" t="str">
        <x:v>Checks the two core monsters, never temporary summons. It does not revive or replace a fallen monster and does not apply to unavoidable non-hit costs.</x:v>
      </x:c>
      <x:c r="J57" s="54" t="str">
        <x:v>Original design proposal; user combat constraints and supplied v2 roster</x:v>
      </x:c>
    </x:row>
    <x:row r="58" ht="120" customHeight="1">
      <x:c r="A58" s="54" t="str">
        <x:v>HP4</x:v>
      </x:c>
      <x:c r="B58" s="54" t="str">
        <x:v>Hunter</x:v>
      </x:c>
      <x:c r="C58" s="54" t="str">
        <x:v>Packleader</x:v>
      </x:c>
      <x:c r="D58" s="54" t="str">
        <x:v>Advanced</x:v>
      </x:c>
      <x:c r="E58" s="54" t="str">
        <x:v>Crossfire</x:v>
      </x:c>
      <x:c r="F58" s="54" t="n">
        <x:v>2</x:v>
      </x:c>
      <x:c r="G58" s="54" t="str">
        <x:v>When both core monsters land primary hits on the signaled enemy within 2 seconds, prime your next landed basic within 3 seconds for +0.30 A physical damage.</x:v>
      </x:c>
      <x:c r="H58" s="54" t="str">
        <x:v>Bonus becomes 0.50 A.</x:v>
      </x:c>
      <x:c r="I58" s="54" t="str">
        <x:v>Shared 2-second grant cooldown, one charge. Clear the two-monster record on grant. Summon hits and other passive follow-ups cannot fill it; missed hunter basics do not consume it.</x:v>
      </x:c>
      <x:c r="J58" s="54" t="str">
        <x:v>Original design proposal; user combat constraints and supplied v2 roster</x:v>
      </x:c>
    </x:row>
    <x:row r="59" ht="120" customHeight="1">
      <x:c r="A59" s="54" t="str">
        <x:v>HP5</x:v>
      </x:c>
      <x:c r="B59" s="54" t="str">
        <x:v>Hunter</x:v>
      </x:c>
      <x:c r="C59" s="54" t="str">
        <x:v>Packleader</x:v>
      </x:c>
      <x:c r="D59" s="54" t="str">
        <x:v>Capstone</x:v>
      </x:c>
      <x:c r="E59" s="54" t="str">
        <x:v>Alpha's Command</x:v>
      </x:c>
      <x:c r="F59" s="54" t="n">
        <x:v>1</x:v>
      </x:c>
      <x:c r="G59" s="54" t="str">
        <x:v>Once every 4 seconds, a landed personal damaging active against the signaled enemy orders one bonus basic from each living core monster at 40% normal primary damage.</x:v>
      </x:c>
      <x:c r="H59" s="54" t="str"/>
      <x:c r="I59" s="54" t="str">
        <x:v>Resolve Hunting Signal before eligibility, so the first valid marking hit can command. A monster must already be able to legally attack that enemy; no movement, forced retarget or reach bypass. Bonus strikes can use normal hit checks but cannot crit, fire on-hit procs, heal through lifesteal, or generate casts/resources/talent triggers. Commands with no legal target are lost.</x:v>
      </x:c>
      <x:c r="J59" s="54" t="str">
        <x:v>Original design proposal; user combat constraints and supplied v2 roster</x:v>
      </x:c>
    </x:row>
    <x:row r="60" ht="120" customHeight="1">
      <x:c r="A60" s="54" t="str">
        <x:v>HT1</x:v>
      </x:c>
      <x:c r="B60" s="54" t="str">
        <x:v>Hunter</x:v>
      </x:c>
      <x:c r="C60" s="54" t="str">
        <x:v>Trapwright</x:v>
      </x:c>
      <x:c r="D60" s="54" t="str">
        <x:v>Opening</x:v>
      </x:c>
      <x:c r="E60" s="54" t="str">
        <x:v>Anchorline</x:v>
      </x:c>
      <x:c r="F60" s="54" t="n">
        <x:v>2</x:v>
      </x:c>
      <x:c r="G60" s="54" t="str">
        <x:v>A landed damaging personal active attaches a Snare to its primary target. It snaps on that enemy's next attack launch or after 2 seconds, dealing 0.15 A physical damage.</x:v>
      </x:c>
      <x:c r="H60" s="54" t="str">
        <x:v>Snap damage becomes 0.25 A.</x:v>
      </x:c>
      <x:c r="I60" s="54" t="str">
        <x:v>One primary Snare; grant cooldown 3 seconds. 'Attack launch' includes damaging actives or basics, not passive damage. Automatic timeout ensures value against slow bosses. A Snare is an attached status, not a blocking unit; no movement trigger is required. It uses no second HIT check after the attaching hit lands.</x:v>
      </x:c>
      <x:c r="J60" s="54" t="str">
        <x:v>Original design proposal; user combat constraints and supplied v2 roster</x:v>
      </x:c>
    </x:row>
    <x:row r="61" ht="120" customHeight="1">
      <x:c r="A61" s="54" t="str">
        <x:v>HT2</x:v>
      </x:c>
      <x:c r="B61" s="54" t="str">
        <x:v>Hunter</x:v>
      </x:c>
      <x:c r="C61" s="54" t="str">
        <x:v>Trapwright</x:v>
      </x:c>
      <x:c r="D61" s="54" t="str">
        <x:v>Fork A</x:v>
      </x:c>
      <x:c r="E61" s="54" t="str">
        <x:v>Tension Wire</x:v>
      </x:c>
      <x:c r="F61" s="54" t="n">
        <x:v>2</x:v>
      </x:c>
      <x:c r="G61" s="54" t="str">
        <x:v>A Snare snap weakens the enemy's next direct primary hit within 3 seconds by 8%.</x:v>
      </x:c>
      <x:c r="H61" s="54" t="str">
        <x:v>Reduction becomes 14%.</x:v>
      </x:c>
      <x:c r="I61" s="54" t="str">
        <x:v>If the snap occurs at an attack launch, apply its debuff before that attack resolves. One primary hit consumes it; no stacking from multiple simultaneous Snares.</x:v>
      </x:c>
      <x:c r="J61" s="54" t="str">
        <x:v>Original design proposal; user combat constraints and supplied v2 roster</x:v>
      </x:c>
    </x:row>
    <x:row r="62" ht="120" customHeight="1">
      <x:c r="A62" s="54" t="str">
        <x:v>HT3</x:v>
      </x:c>
      <x:c r="B62" s="54" t="str">
        <x:v>Hunter</x:v>
      </x:c>
      <x:c r="C62" s="54" t="str">
        <x:v>Trapwright</x:v>
      </x:c>
      <x:c r="D62" s="54" t="str">
        <x:v>Fork B</x:v>
      </x:c>
      <x:c r="E62" s="54" t="str">
        <x:v>Scatterline</x:v>
      </x:c>
      <x:c r="F62" s="54" t="n">
        <x:v>2</x:v>
      </x:c>
      <x:c r="G62" s="54" t="str">
        <x:v>Also attach a secondary Snare to one other enemy within 1.5R of the primary target; its snap deals half damage.</x:v>
      </x:c>
      <x:c r="H62" s="54" t="str">
        <x:v>Attach to up to two other enemies instead.</x:v>
      </x:c>
      <x:c r="I62" s="54" t="str">
        <x:v>Maximum three attached Snares globally including primary. Secondaries use Anchorline's base amount before halving and share the original grant cooldown; apply normal secondary-target eligibility/accuracy. They may apply Tension Wire, but cannot create capstone ground zones. No replacement hits on a lone boss.</x:v>
      </x:c>
      <x:c r="J62" s="54" t="str">
        <x:v>Original design proposal; user combat constraints and supplied v2 roster</x:v>
      </x:c>
    </x:row>
    <x:row r="63" ht="120" customHeight="1">
      <x:c r="A63" s="54" t="str">
        <x:v>HT4</x:v>
      </x:c>
      <x:c r="B63" s="54" t="str">
        <x:v>Hunter</x:v>
      </x:c>
      <x:c r="C63" s="54" t="str">
        <x:v>Trapwright</x:v>
      </x:c>
      <x:c r="D63" s="54" t="str">
        <x:v>Advanced</x:v>
      </x:c>
      <x:c r="E63" s="54" t="str">
        <x:v>Surefooted Ambush</x:v>
      </x:c>
      <x:c r="F63" s="54" t="n">
        <x:v>2</x:v>
      </x:c>
      <x:c r="G63" s="54" t="str">
        <x:v>When any of your Snares snaps, gain +10 FLEE and +8 HIT for 2 seconds.</x:v>
      </x:c>
      <x:c r="H63" s="54" t="str">
        <x:v>Bonuses become +18 FLEE and +12 HIT.</x:v>
      </x:c>
      <x:c r="I63" s="54" t="str">
        <x:v>Same-source refresh only; a group of simultaneous snaps cannot stack the stats. It is evasion/accuracy, not movement speed or teleportation.</x:v>
      </x:c>
      <x:c r="J63" s="54" t="str">
        <x:v>Original design proposal; user combat constraints and supplied v2 roster</x:v>
      </x:c>
    </x:row>
    <x:row r="64" ht="120" customHeight="1">
      <x:c r="A64" s="54" t="str">
        <x:v>HT5</x:v>
      </x:c>
      <x:c r="B64" s="54" t="str">
        <x:v>Hunter</x:v>
      </x:c>
      <x:c r="C64" s="54" t="str">
        <x:v>Trapwright</x:v>
      </x:c>
      <x:c r="D64" s="54" t="str">
        <x:v>Capstone</x:v>
      </x:c>
      <x:c r="E64" s="54" t="str">
        <x:v>Killing Ground</x:v>
      </x:c>
      <x:c r="F64" s="54" t="n">
        <x:v>1</x:v>
      </x:c>
      <x:c r="G64" s="54" t="str">
        <x:v>A primary Snare snap creates a 3-second caltrop zone at that enemy's current location. It deals 0.12 A physical damage immediately and at seconds 1 and 2 to up to three enemies within 1.5R.</x:v>
      </x:c>
      <x:c r="H64" s="54" t="str"/>
      <x:c r="I64" s="54" t="str">
        <x:v>Maximum one zone. Despawning/replacing it does not grant extra opening pulses beyond the primary Snare's 3-second grant cadence. It is a timed ground effect, not a targetable structure; no movement trigger. A boss is one target. Pulses cannot attach Snares or trigger other talents.</x:v>
      </x:c>
      <x:c r="J64" s="54" t="str">
        <x:v>Original design proposal; user combat constraints and supplied v2 roster</x:v>
      </x:c>
    </x:row>
  </x:sheetData>
  <x:mergeCells>
    <x:mergeCell ref="A1:J2"/>
    <x:mergeCell ref="A3:J3"/>
  </x:mergeCells>
  <x:pageMargins left="0.7" right="0.7" top="0.75" bottom="0.75" header="0.3" footer="0.3"/>
  <x:tableParts count="1">
    <x:tablePart xmlns:r="http://schemas.openxmlformats.org/officeDocument/2006/relationships" r:id="R6ef26ce29ddf44a3"/>
  </x:tableParts>
</x:worksheet>
</file>

<file path=xl/worksheets/sheet7.xml><?xml version="1.0" encoding="utf-8"?>
<x:worksheet xmlns:x="http://schemas.openxmlformats.org/spreadsheetml/2006/main">
  <x:sheetFormatPr defaultRowHeight="15"/>
  <x:cols>
    <x:col min="1" max="1" width="12" hidden="0" customWidth="1"/>
    <x:col min="2" max="2" width="27"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0" hidden="0" customWidth="1"/>
    <x:col min="19" max="19" width="11" hidden="0" customWidth="1"/>
    <x:col min="20" max="20" width="16" hidden="0" customWidth="1"/>
    <x:col min="21" max="21" width="14" hidden="0" customWidth="1"/>
  </x:cols>
  <x:sheetData>
    <x:row r="1" ht="24" customHeight="1">
      <x:c r="A1" s="4" t="str">
        <x:v>BUILD ALLOCATIONS</x:v>
      </x:c>
      <x:c r="B1" s="4"/>
      <x:c r="C1" s="4"/>
      <x:c r="D1" s="4"/>
      <x:c r="E1" s="4"/>
      <x:c r="F1" s="4"/>
      <x:c r="G1" s="4"/>
      <x:c r="H1" s="4"/>
      <x:c r="I1" s="4"/>
      <x:c r="J1" s="4"/>
      <x:c r="K1" s="4"/>
      <x:c r="L1" s="4"/>
      <x:c r="M1" s="4"/>
      <x:c r="N1" s="4"/>
      <x:c r="O1" s="4"/>
      <x:c r="P1" s="4"/>
      <x:c r="Q1" s="4"/>
      <x:c r="R1" s="4"/>
      <x:c r="S1" s="4"/>
      <x:c r="T1" s="4"/>
      <x:c r="U1" s="4"/>
    </x:row>
    <x:row r="2" ht="24" customHeight="1">
      <x:c r="A2" s="4"/>
      <x:c r="B2" s="4"/>
      <x:c r="C2" s="4"/>
      <x:c r="D2" s="4"/>
      <x:c r="E2" s="4"/>
      <x:c r="F2" s="4"/>
      <x:c r="G2" s="4"/>
      <x:c r="H2" s="4"/>
      <x:c r="I2" s="4"/>
      <x:c r="J2" s="4"/>
      <x:c r="K2" s="4"/>
      <x:c r="L2" s="4"/>
      <x:c r="M2" s="4"/>
      <x:c r="N2" s="4"/>
      <x:c r="O2" s="4"/>
      <x:c r="P2" s="4"/>
      <x:c r="Q2" s="4"/>
      <x:c r="R2" s="4"/>
      <x:c r="S2" s="4"/>
      <x:c r="T2" s="4"/>
      <x:c r="U2" s="4"/>
    </x:row>
    <x:row r="3" ht="35" customHeight="1">
      <x:c r="A3" s="9" t="str">
        <x:v>Blue numbers are editable ranks. Branches 1/2/3 follow the order on that class's sheet. Budget and prerequisite checks recalculate.</x:v>
      </x:c>
      <x:c r="B3" s="9"/>
      <x:c r="C3" s="9"/>
      <x:c r="D3" s="9"/>
      <x:c r="E3" s="9"/>
      <x:c r="F3" s="9"/>
      <x:c r="G3" s="9"/>
      <x:c r="H3" s="9"/>
      <x:c r="I3" s="9"/>
      <x:c r="J3" s="9"/>
      <x:c r="K3" s="9"/>
      <x:c r="L3" s="9"/>
      <x:c r="M3" s="9"/>
      <x:c r="N3" s="9"/>
      <x:c r="O3" s="9"/>
      <x:c r="P3" s="9"/>
      <x:c r="Q3" s="9"/>
      <x:c r="R3" s="9"/>
      <x:c r="S3" s="9"/>
      <x:c r="T3" s="9"/>
      <x:c r="U3" s="9"/>
    </x:row>
    <x:row r="4" ht="30" customHeight="1">
      <x:c r="A4" s="47" t="str">
        <x:v>Class</x:v>
      </x:c>
      <x:c r="B4" s="47" t="str">
        <x:v>Build</x:v>
      </x:c>
      <x:c r="C4" s="47" t="str">
        <x:v>B1 Opening</x:v>
      </x:c>
      <x:c r="D4" s="47" t="str">
        <x:v>B1 Fork A</x:v>
      </x:c>
      <x:c r="E4" s="47" t="str">
        <x:v>B1 Fork B</x:v>
      </x:c>
      <x:c r="F4" s="47" t="str">
        <x:v>B1 Advanced</x:v>
      </x:c>
      <x:c r="G4" s="47" t="str">
        <x:v>B1 Capstone</x:v>
      </x:c>
      <x:c r="H4" s="47" t="str">
        <x:v>B2 Opening</x:v>
      </x:c>
      <x:c r="I4" s="47" t="str">
        <x:v>B2 Fork A</x:v>
      </x:c>
      <x:c r="J4" s="47" t="str">
        <x:v>B2 Fork B</x:v>
      </x:c>
      <x:c r="K4" s="47" t="str">
        <x:v>B2 Advanced</x:v>
      </x:c>
      <x:c r="L4" s="47" t="str">
        <x:v>B2 Capstone</x:v>
      </x:c>
      <x:c r="M4" s="47" t="str">
        <x:v>B3 Opening</x:v>
      </x:c>
      <x:c r="N4" s="47" t="str">
        <x:v>B3 Fork A</x:v>
      </x:c>
      <x:c r="O4" s="47" t="str">
        <x:v>B3 Fork B</x:v>
      </x:c>
      <x:c r="P4" s="47" t="str">
        <x:v>B3 Advanced</x:v>
      </x:c>
      <x:c r="Q4" s="47" t="str">
        <x:v>B3 Capstone</x:v>
      </x:c>
      <x:c r="R4" s="47" t="str">
        <x:v>Total</x:v>
      </x:c>
      <x:c r="S4" s="47" t="str">
        <x:v>Unspent</x:v>
      </x:c>
      <x:c r="T4" s="47" t="str">
        <x:v>Prerequisites</x:v>
      </x:c>
      <x:c r="U4" s="47" t="str">
        <x:v>Build status</x:v>
      </x:c>
    </x:row>
    <x:row r="5" ht="36" customHeight="1">
      <x:c r="A5" s="68" t="str">
        <x:v>Mage</x:v>
      </x:c>
      <x:c r="B5" s="68" t="str">
        <x:v>Spell-cycle artillery</x:v>
      </x:c>
      <x:c r="C5" s="72" t="n">
        <x:v>2</x:v>
      </x:c>
      <x:c r="D5" s="72" t="n">
        <x:v>2</x:v>
      </x:c>
      <x:c r="E5" s="72" t="n">
        <x:v>2</x:v>
      </x:c>
      <x:c r="F5" s="72" t="n">
        <x:v>2</x:v>
      </x:c>
      <x:c r="G5" s="72" t="n">
        <x:v>1</x:v>
      </x:c>
      <x:c r="H5" s="72" t="n">
        <x:v>2</x:v>
      </x:c>
      <x:c r="I5" s="72" t="n">
        <x:v>0</x:v>
      </x:c>
      <x:c r="J5" s="72" t="n">
        <x:v>2</x:v>
      </x:c>
      <x:c r="K5" s="72" t="n">
        <x:v>2</x:v>
      </x:c>
      <x:c r="L5" s="72" t="n">
        <x:v>0</x:v>
      </x:c>
      <x:c r="M5" s="72" t="n">
        <x:v>0</x:v>
      </x:c>
      <x:c r="N5" s="72" t="n">
        <x:v>0</x:v>
      </x:c>
      <x:c r="O5" s="72" t="n">
        <x:v>0</x:v>
      </x:c>
      <x:c r="P5" s="72" t="n">
        <x:v>0</x:v>
      </x:c>
      <x:c r="Q5" s="72" t="n">
        <x:v>0</x:v>
      </x:c>
      <x:c r="R5" s="68" t="n">
        <x:f>SUM(C5:Q5)</x:f>
        <x:v>15</x:v>
      </x:c>
      <x:c r="S5" s="68" t="n">
        <x:f>'Read Me'!$B$6-R5</x:f>
        <x:v>0</x:v>
      </x:c>
      <x:c r="T5" s="68" t="str">
        <x:f>IF(AND(C5&gt;=0,C5&lt;=2,C5=INT(C5),D5&gt;=0,D5&lt;=2,D5=INT(D5),E5&gt;=0,E5&lt;=2,E5=INT(E5),F5&gt;=0,F5&lt;=2,F5=INT(F5),G5&gt;=0,G5&lt;=1,G5=INT(G5),IF(D5&gt;0,C5=2,TRUE),IF(E5&gt;0,C5=2,TRUE),IF(F5&gt;0,AND(SUM(C5:E5)&gt;=4,OR(D5=2,E5=2)),TRUE),IF(G5&gt;0,AND(SUM(C5:F5)&gt;=7,F5=2),TRUE),H5&gt;=0,H5&lt;=2,H5=INT(H5),I5&gt;=0,I5&lt;=2,I5=INT(I5),J5&gt;=0,J5&lt;=2,J5=INT(J5),K5&gt;=0,K5&lt;=2,K5=INT(K5),L5&gt;=0,L5&lt;=1,L5=INT(L5),IF(I5&gt;0,H5=2,TRUE),IF(J5&gt;0,H5=2,TRUE),IF(K5&gt;0,AND(SUM(H5:J5)&gt;=4,OR(I5=2,J5=2)),TRUE),IF(L5&gt;0,AND(SUM(H5:K5)&gt;=7,K5=2),TRUE),M5&gt;=0,M5&lt;=2,M5=INT(M5),N5&gt;=0,N5&lt;=2,N5=INT(N5),O5&gt;=0,O5&lt;=2,O5=INT(O5),P5&gt;=0,P5&lt;=2,P5=INT(P5),Q5&gt;=0,Q5&lt;=1,Q5=INT(Q5),IF(N5&gt;0,M5=2,TRUE),IF(O5&gt;0,M5=2,TRUE),IF(P5&gt;0,AND(SUM(M5:O5)&gt;=4,OR(N5=2,O5=2)),TRUE),IF(Q5&gt;0,AND(SUM(M5:P5)&gt;=7,P5=2),TRUE)),"OK","Check ranks/gates")</x:f>
        <x:v>OK</x:v>
      </x:c>
      <x:c r="U5" s="68" t="str">
        <x:f>IF(AND(S5&gt;=0,T5="OK"),"Valid","Review")</x:f>
        <x:v>Valid</x:v>
      </x:c>
    </x:row>
    <x:row r="6" ht="36" customHeight="1">
      <x:c r="A6" s="68" t="str">
        <x:v>Mage</x:v>
      </x:c>
      <x:c r="B6" s="68" t="str">
        <x:v>Armored spellwright</x:v>
      </x:c>
      <x:c r="C6" s="72" t="n">
        <x:v>0</x:v>
      </x:c>
      <x:c r="D6" s="72" t="n">
        <x:v>0</x:v>
      </x:c>
      <x:c r="E6" s="72" t="n">
        <x:v>0</x:v>
      </x:c>
      <x:c r="F6" s="72" t="n">
        <x:v>0</x:v>
      </x:c>
      <x:c r="G6" s="72" t="n">
        <x:v>0</x:v>
      </x:c>
      <x:c r="H6" s="72" t="n">
        <x:v>2</x:v>
      </x:c>
      <x:c r="I6" s="72" t="n">
        <x:v>2</x:v>
      </x:c>
      <x:c r="J6" s="72" t="n">
        <x:v>2</x:v>
      </x:c>
      <x:c r="K6" s="72" t="n">
        <x:v>2</x:v>
      </x:c>
      <x:c r="L6" s="72" t="n">
        <x:v>1</x:v>
      </x:c>
      <x:c r="M6" s="72" t="n">
        <x:v>2</x:v>
      </x:c>
      <x:c r="N6" s="72" t="n">
        <x:v>0</x:v>
      </x:c>
      <x:c r="O6" s="72" t="n">
        <x:v>2</x:v>
      </x:c>
      <x:c r="P6" s="72" t="n">
        <x:v>2</x:v>
      </x:c>
      <x:c r="Q6" s="72" t="n">
        <x:v>0</x:v>
      </x:c>
      <x:c r="R6" s="68" t="n">
        <x:f>SUM(C6:Q6)</x:f>
        <x:v>15</x:v>
      </x:c>
      <x:c r="S6" s="68" t="n">
        <x:f>'Read Me'!$B$6-R6</x:f>
        <x:v>0</x:v>
      </x:c>
      <x:c r="T6" s="68" t="str">
        <x:f>IF(AND(C6&gt;=0,C6&lt;=2,C6=INT(C6),D6&gt;=0,D6&lt;=2,D6=INT(D6),E6&gt;=0,E6&lt;=2,E6=INT(E6),F6&gt;=0,F6&lt;=2,F6=INT(F6),G6&gt;=0,G6&lt;=1,G6=INT(G6),IF(D6&gt;0,C6=2,TRUE),IF(E6&gt;0,C6=2,TRUE),IF(F6&gt;0,AND(SUM(C6:E6)&gt;=4,OR(D6=2,E6=2)),TRUE),IF(G6&gt;0,AND(SUM(C6:F6)&gt;=7,F6=2),TRUE),H6&gt;=0,H6&lt;=2,H6=INT(H6),I6&gt;=0,I6&lt;=2,I6=INT(I6),J6&gt;=0,J6&lt;=2,J6=INT(J6),K6&gt;=0,K6&lt;=2,K6=INT(K6),L6&gt;=0,L6&lt;=1,L6=INT(L6),IF(I6&gt;0,H6=2,TRUE),IF(J6&gt;0,H6=2,TRUE),IF(K6&gt;0,AND(SUM(H6:J6)&gt;=4,OR(I6=2,J6=2)),TRUE),IF(L6&gt;0,AND(SUM(H6:K6)&gt;=7,K6=2),TRUE),M6&gt;=0,M6&lt;=2,M6=INT(M6),N6&gt;=0,N6&lt;=2,N6=INT(N6),O6&gt;=0,O6&lt;=2,O6=INT(O6),P6&gt;=0,P6&lt;=2,P6=INT(P6),Q6&gt;=0,Q6&lt;=1,Q6=INT(Q6),IF(N6&gt;0,M6=2,TRUE),IF(O6&gt;0,M6=2,TRUE),IF(P6&gt;0,AND(SUM(M6:O6)&gt;=4,OR(N6=2,O6=2)),TRUE),IF(Q6&gt;0,AND(SUM(M6:P6)&gt;=7,P6=2),TRUE)),"OK","Check ranks/gates")</x:f>
        <x:v>OK</x:v>
      </x:c>
      <x:c r="U6" s="68" t="str">
        <x:f>IF(AND(S6&gt;=0,T6="OK"),"Valid","Review")</x:f>
        <x:v>Valid</x:v>
      </x:c>
    </x:row>
    <x:row r="7" ht="36" customHeight="1">
      <x:c r="A7" s="68" t="str">
        <x:v>Mage</x:v>
      </x:c>
      <x:c r="B7" s="68" t="str">
        <x:v>Orrery conductor</x:v>
      </x:c>
      <x:c r="C7" s="72" t="n">
        <x:v>2</x:v>
      </x:c>
      <x:c r="D7" s="72" t="n">
        <x:v>2</x:v>
      </x:c>
      <x:c r="E7" s="72" t="n">
        <x:v>0</x:v>
      </x:c>
      <x:c r="F7" s="72" t="n">
        <x:v>2</x:v>
      </x:c>
      <x:c r="G7" s="72" t="n">
        <x:v>0</x:v>
      </x:c>
      <x:c r="H7" s="72" t="n">
        <x:v>0</x:v>
      </x:c>
      <x:c r="I7" s="72" t="n">
        <x:v>0</x:v>
      </x:c>
      <x:c r="J7" s="72" t="n">
        <x:v>0</x:v>
      </x:c>
      <x:c r="K7" s="72" t="n">
        <x:v>0</x:v>
      </x:c>
      <x:c r="L7" s="72" t="n">
        <x:v>0</x:v>
      </x:c>
      <x:c r="M7" s="72" t="n">
        <x:v>2</x:v>
      </x:c>
      <x:c r="N7" s="72" t="n">
        <x:v>2</x:v>
      </x:c>
      <x:c r="O7" s="72" t="n">
        <x:v>2</x:v>
      </x:c>
      <x:c r="P7" s="72" t="n">
        <x:v>2</x:v>
      </x:c>
      <x:c r="Q7" s="72" t="n">
        <x:v>1</x:v>
      </x:c>
      <x:c r="R7" s="68" t="n">
        <x:f>SUM(C7:Q7)</x:f>
        <x:v>15</x:v>
      </x:c>
      <x:c r="S7" s="68" t="n">
        <x:f>'Read Me'!$B$6-R7</x:f>
        <x:v>0</x:v>
      </x:c>
      <x:c r="T7" s="68" t="str">
        <x:f>IF(AND(C7&gt;=0,C7&lt;=2,C7=INT(C7),D7&gt;=0,D7&lt;=2,D7=INT(D7),E7&gt;=0,E7&lt;=2,E7=INT(E7),F7&gt;=0,F7&lt;=2,F7=INT(F7),G7&gt;=0,G7&lt;=1,G7=INT(G7),IF(D7&gt;0,C7=2,TRUE),IF(E7&gt;0,C7=2,TRUE),IF(F7&gt;0,AND(SUM(C7:E7)&gt;=4,OR(D7=2,E7=2)),TRUE),IF(G7&gt;0,AND(SUM(C7:F7)&gt;=7,F7=2),TRUE),H7&gt;=0,H7&lt;=2,H7=INT(H7),I7&gt;=0,I7&lt;=2,I7=INT(I7),J7&gt;=0,J7&lt;=2,J7=INT(J7),K7&gt;=0,K7&lt;=2,K7=INT(K7),L7&gt;=0,L7&lt;=1,L7=INT(L7),IF(I7&gt;0,H7=2,TRUE),IF(J7&gt;0,H7=2,TRUE),IF(K7&gt;0,AND(SUM(H7:J7)&gt;=4,OR(I7=2,J7=2)),TRUE),IF(L7&gt;0,AND(SUM(H7:K7)&gt;=7,K7=2),TRUE),M7&gt;=0,M7&lt;=2,M7=INT(M7),N7&gt;=0,N7&lt;=2,N7=INT(N7),O7&gt;=0,O7&lt;=2,O7=INT(O7),P7&gt;=0,P7&lt;=2,P7=INT(P7),Q7&gt;=0,Q7&lt;=1,Q7=INT(Q7),IF(N7&gt;0,M7=2,TRUE),IF(O7&gt;0,M7=2,TRUE),IF(P7&gt;0,AND(SUM(M7:O7)&gt;=4,OR(N7=2,O7=2)),TRUE),IF(Q7&gt;0,AND(SUM(M7:P7)&gt;=7,P7=2),TRUE)),"OK","Check ranks/gates")</x:f>
        <x:v>OK</x:v>
      </x:c>
      <x:c r="U7" s="68" t="str">
        <x:f>IF(AND(S7&gt;=0,T7="OK"),"Valid","Review")</x:f>
        <x:v>Valid</x:v>
      </x:c>
    </x:row>
    <x:row r="8" ht="36" customHeight="1">
      <x:c r="A8" s="68" t="str">
        <x:v>Druid</x:v>
      </x:c>
      <x:c r="B8" s="68" t="str">
        <x:v>Seedkeeper medic</x:v>
      </x:c>
      <x:c r="C8" s="72" t="n">
        <x:v>2</x:v>
      </x:c>
      <x:c r="D8" s="72" t="n">
        <x:v>2</x:v>
      </x:c>
      <x:c r="E8" s="72" t="n">
        <x:v>2</x:v>
      </x:c>
      <x:c r="F8" s="72" t="n">
        <x:v>2</x:v>
      </x:c>
      <x:c r="G8" s="72" t="n">
        <x:v>1</x:v>
      </x:c>
      <x:c r="H8" s="72" t="n">
        <x:v>2</x:v>
      </x:c>
      <x:c r="I8" s="72" t="n">
        <x:v>2</x:v>
      </x:c>
      <x:c r="J8" s="72" t="n">
        <x:v>2</x:v>
      </x:c>
      <x:c r="K8" s="72" t="n">
        <x:v>0</x:v>
      </x:c>
      <x:c r="L8" s="72" t="n">
        <x:v>0</x:v>
      </x:c>
      <x:c r="M8" s="72" t="n">
        <x:v>0</x:v>
      </x:c>
      <x:c r="N8" s="72" t="n">
        <x:v>0</x:v>
      </x:c>
      <x:c r="O8" s="72" t="n">
        <x:v>0</x:v>
      </x:c>
      <x:c r="P8" s="72" t="n">
        <x:v>0</x:v>
      </x:c>
      <x:c r="Q8" s="72" t="n">
        <x:v>0</x:v>
      </x:c>
      <x:c r="R8" s="68" t="n">
        <x:f>SUM(C8:Q8)</x:f>
        <x:v>15</x:v>
      </x:c>
      <x:c r="S8" s="68" t="n">
        <x:f>'Read Me'!$B$6-R8</x:f>
        <x:v>0</x:v>
      </x:c>
      <x:c r="T8" s="68" t="str">
        <x:f>IF(AND(C8&gt;=0,C8&lt;=2,C8=INT(C8),D8&gt;=0,D8&lt;=2,D8=INT(D8),E8&gt;=0,E8&lt;=2,E8=INT(E8),F8&gt;=0,F8&lt;=2,F8=INT(F8),G8&gt;=0,G8&lt;=1,G8=INT(G8),IF(D8&gt;0,C8=2,TRUE),IF(E8&gt;0,C8=2,TRUE),IF(F8&gt;0,AND(SUM(C8:E8)&gt;=4,OR(D8=2,E8=2)),TRUE),IF(G8&gt;0,AND(SUM(C8:F8)&gt;=7,F8=2),TRUE),H8&gt;=0,H8&lt;=2,H8=INT(H8),I8&gt;=0,I8&lt;=2,I8=INT(I8),J8&gt;=0,J8&lt;=2,J8=INT(J8),K8&gt;=0,K8&lt;=2,K8=INT(K8),L8&gt;=0,L8&lt;=1,L8=INT(L8),IF(I8&gt;0,H8=2,TRUE),IF(J8&gt;0,H8=2,TRUE),IF(K8&gt;0,AND(SUM(H8:J8)&gt;=4,OR(I8=2,J8=2)),TRUE),IF(L8&gt;0,AND(SUM(H8:K8)&gt;=7,K8=2),TRUE),M8&gt;=0,M8&lt;=2,M8=INT(M8),N8&gt;=0,N8&lt;=2,N8=INT(N8),O8&gt;=0,O8&lt;=2,O8=INT(O8),P8&gt;=0,P8&lt;=2,P8=INT(P8),Q8&gt;=0,Q8&lt;=1,Q8=INT(Q8),IF(N8&gt;0,M8=2,TRUE),IF(O8&gt;0,M8=2,TRUE),IF(P8&gt;0,AND(SUM(M8:O8)&gt;=4,OR(N8=2,O8=2)),TRUE),IF(Q8&gt;0,AND(SUM(M8:P8)&gt;=7,P8=2),TRUE)),"OK","Check ranks/gates")</x:f>
        <x:v>OK</x:v>
      </x:c>
      <x:c r="U8" s="68" t="str">
        <x:f>IF(AND(S8&gt;=0,T8="OK"),"Valid","Review")</x:f>
        <x:v>Valid</x:v>
      </x:c>
    </x:row>
    <x:row r="9" ht="36" customHeight="1">
      <x:c r="A9" s="68" t="str">
        <x:v>Druid</x:v>
      </x:c>
      <x:c r="B9" s="68" t="str">
        <x:v>Briar covenant</x:v>
      </x:c>
      <x:c r="C9" s="72" t="n">
        <x:v>2</x:v>
      </x:c>
      <x:c r="D9" s="72" t="n">
        <x:v>2</x:v>
      </x:c>
      <x:c r="E9" s="72" t="n">
        <x:v>2</x:v>
      </x:c>
      <x:c r="F9" s="72" t="n">
        <x:v>0</x:v>
      </x:c>
      <x:c r="G9" s="72" t="n">
        <x:v>0</x:v>
      </x:c>
      <x:c r="H9" s="72" t="n">
        <x:v>2</x:v>
      </x:c>
      <x:c r="I9" s="72" t="n">
        <x:v>2</x:v>
      </x:c>
      <x:c r="J9" s="72" t="n">
        <x:v>2</x:v>
      </x:c>
      <x:c r="K9" s="72" t="n">
        <x:v>2</x:v>
      </x:c>
      <x:c r="L9" s="72" t="n">
        <x:v>1</x:v>
      </x:c>
      <x:c r="M9" s="72" t="n">
        <x:v>0</x:v>
      </x:c>
      <x:c r="N9" s="72" t="n">
        <x:v>0</x:v>
      </x:c>
      <x:c r="O9" s="72" t="n">
        <x:v>0</x:v>
      </x:c>
      <x:c r="P9" s="72" t="n">
        <x:v>0</x:v>
      </x:c>
      <x:c r="Q9" s="72" t="n">
        <x:v>0</x:v>
      </x:c>
      <x:c r="R9" s="68" t="n">
        <x:f>SUM(C9:Q9)</x:f>
        <x:v>15</x:v>
      </x:c>
      <x:c r="S9" s="68" t="n">
        <x:f>'Read Me'!$B$6-R9</x:f>
        <x:v>0</x:v>
      </x:c>
      <x:c r="T9" s="68" t="str">
        <x:f>IF(AND(C9&gt;=0,C9&lt;=2,C9=INT(C9),D9&gt;=0,D9&lt;=2,D9=INT(D9),E9&gt;=0,E9&lt;=2,E9=INT(E9),F9&gt;=0,F9&lt;=2,F9=INT(F9),G9&gt;=0,G9&lt;=1,G9=INT(G9),IF(D9&gt;0,C9=2,TRUE),IF(E9&gt;0,C9=2,TRUE),IF(F9&gt;0,AND(SUM(C9:E9)&gt;=4,OR(D9=2,E9=2)),TRUE),IF(G9&gt;0,AND(SUM(C9:F9)&gt;=7,F9=2),TRUE),H9&gt;=0,H9&lt;=2,H9=INT(H9),I9&gt;=0,I9&lt;=2,I9=INT(I9),J9&gt;=0,J9&lt;=2,J9=INT(J9),K9&gt;=0,K9&lt;=2,K9=INT(K9),L9&gt;=0,L9&lt;=1,L9=INT(L9),IF(I9&gt;0,H9=2,TRUE),IF(J9&gt;0,H9=2,TRUE),IF(K9&gt;0,AND(SUM(H9:J9)&gt;=4,OR(I9=2,J9=2)),TRUE),IF(L9&gt;0,AND(SUM(H9:K9)&gt;=7,K9=2),TRUE),M9&gt;=0,M9&lt;=2,M9=INT(M9),N9&gt;=0,N9&lt;=2,N9=INT(N9),O9&gt;=0,O9&lt;=2,O9=INT(O9),P9&gt;=0,P9&lt;=2,P9=INT(P9),Q9&gt;=0,Q9&lt;=1,Q9=INT(Q9),IF(N9&gt;0,M9=2,TRUE),IF(O9&gt;0,M9=2,TRUE),IF(P9&gt;0,AND(SUM(M9:O9)&gt;=4,OR(N9=2,O9=2)),TRUE),IF(Q9&gt;0,AND(SUM(M9:P9)&gt;=7,P9=2),TRUE)),"OK","Check ranks/gates")</x:f>
        <x:v>OK</x:v>
      </x:c>
      <x:c r="U9" s="68" t="str">
        <x:f>IF(AND(S9&gt;=0,T9="OK"),"Valid","Review")</x:f>
        <x:v>Valid</x:v>
      </x:c>
    </x:row>
    <x:row r="10" ht="36" customHeight="1">
      <x:c r="A10" s="68" t="str">
        <x:v>Druid</x:v>
      </x:c>
      <x:c r="B10" s="68" t="str">
        <x:v>Living siege garden</x:v>
      </x:c>
      <x:c r="C10" s="72" t="n">
        <x:v>0</x:v>
      </x:c>
      <x:c r="D10" s="72" t="n">
        <x:v>0</x:v>
      </x:c>
      <x:c r="E10" s="72" t="n">
        <x:v>0</x:v>
      </x:c>
      <x:c r="F10" s="72" t="n">
        <x:v>0</x:v>
      </x:c>
      <x:c r="G10" s="72" t="n">
        <x:v>0</x:v>
      </x:c>
      <x:c r="H10" s="72" t="n">
        <x:v>2</x:v>
      </x:c>
      <x:c r="I10" s="72" t="n">
        <x:v>0</x:v>
      </x:c>
      <x:c r="J10" s="72" t="n">
        <x:v>2</x:v>
      </x:c>
      <x:c r="K10" s="72" t="n">
        <x:v>2</x:v>
      </x:c>
      <x:c r="L10" s="72" t="n">
        <x:v>0</x:v>
      </x:c>
      <x:c r="M10" s="72" t="n">
        <x:v>2</x:v>
      </x:c>
      <x:c r="N10" s="72" t="n">
        <x:v>2</x:v>
      </x:c>
      <x:c r="O10" s="72" t="n">
        <x:v>2</x:v>
      </x:c>
      <x:c r="P10" s="72" t="n">
        <x:v>2</x:v>
      </x:c>
      <x:c r="Q10" s="72" t="n">
        <x:v>1</x:v>
      </x:c>
      <x:c r="R10" s="68" t="n">
        <x:f>SUM(C10:Q10)</x:f>
        <x:v>15</x:v>
      </x:c>
      <x:c r="S10" s="68" t="n">
        <x:f>'Read Me'!$B$6-R10</x:f>
        <x:v>0</x:v>
      </x:c>
      <x:c r="T10" s="68" t="str">
        <x:f>IF(AND(C10&gt;=0,C10&lt;=2,C10=INT(C10),D10&gt;=0,D10&lt;=2,D10=INT(D10),E10&gt;=0,E10&lt;=2,E10=INT(E10),F10&gt;=0,F10&lt;=2,F10=INT(F10),G10&gt;=0,G10&lt;=1,G10=INT(G10),IF(D10&gt;0,C10=2,TRUE),IF(E10&gt;0,C10=2,TRUE),IF(F10&gt;0,AND(SUM(C10:E10)&gt;=4,OR(D10=2,E10=2)),TRUE),IF(G10&gt;0,AND(SUM(C10:F10)&gt;=7,F10=2),TRUE),H10&gt;=0,H10&lt;=2,H10=INT(H10),I10&gt;=0,I10&lt;=2,I10=INT(I10),J10&gt;=0,J10&lt;=2,J10=INT(J10),K10&gt;=0,K10&lt;=2,K10=INT(K10),L10&gt;=0,L10&lt;=1,L10=INT(L10),IF(I10&gt;0,H10=2,TRUE),IF(J10&gt;0,H10=2,TRUE),IF(K10&gt;0,AND(SUM(H10:J10)&gt;=4,OR(I10=2,J10=2)),TRUE),IF(L10&gt;0,AND(SUM(H10:K10)&gt;=7,K10=2),TRUE),M10&gt;=0,M10&lt;=2,M10=INT(M10),N10&gt;=0,N10&lt;=2,N10=INT(N10),O10&gt;=0,O10&lt;=2,O10=INT(O10),P10&gt;=0,P10&lt;=2,P10=INT(P10),Q10&gt;=0,Q10&lt;=1,Q10=INT(Q10),IF(N10&gt;0,M10=2,TRUE),IF(O10&gt;0,M10=2,TRUE),IF(P10&gt;0,AND(SUM(M10:O10)&gt;=4,OR(N10=2,O10=2)),TRUE),IF(Q10&gt;0,AND(SUM(M10:P10)&gt;=7,P10=2),TRUE)),"OK","Check ranks/gates")</x:f>
        <x:v>OK</x:v>
      </x:c>
      <x:c r="U10" s="68" t="str">
        <x:f>IF(AND(S10&gt;=0,T10="OK"),"Valid","Review")</x:f>
        <x:v>Valid</x:v>
      </x:c>
    </x:row>
    <x:row r="11" ht="36" customHeight="1">
      <x:c r="A11" s="68" t="str">
        <x:v>Knight</x:v>
      </x:c>
      <x:c r="B11" s="68" t="str">
        <x:v>Unbroken citadel</x:v>
      </x:c>
      <x:c r="C11" s="72" t="n">
        <x:v>2</x:v>
      </x:c>
      <x:c r="D11" s="72" t="n">
        <x:v>2</x:v>
      </x:c>
      <x:c r="E11" s="72" t="n">
        <x:v>2</x:v>
      </x:c>
      <x:c r="F11" s="72" t="n">
        <x:v>2</x:v>
      </x:c>
      <x:c r="G11" s="72" t="n">
        <x:v>1</x:v>
      </x:c>
      <x:c r="H11" s="72" t="n">
        <x:v>0</x:v>
      </x:c>
      <x:c r="I11" s="72" t="n">
        <x:v>0</x:v>
      </x:c>
      <x:c r="J11" s="72" t="n">
        <x:v>0</x:v>
      </x:c>
      <x:c r="K11" s="72" t="n">
        <x:v>0</x:v>
      </x:c>
      <x:c r="L11" s="72" t="n">
        <x:v>0</x:v>
      </x:c>
      <x:c r="M11" s="72" t="n">
        <x:v>2</x:v>
      </x:c>
      <x:c r="N11" s="72" t="n">
        <x:v>0</x:v>
      </x:c>
      <x:c r="O11" s="72" t="n">
        <x:v>2</x:v>
      </x:c>
      <x:c r="P11" s="72" t="n">
        <x:v>2</x:v>
      </x:c>
      <x:c r="Q11" s="72" t="n">
        <x:v>0</x:v>
      </x:c>
      <x:c r="R11" s="68" t="n">
        <x:f>SUM(C11:Q11)</x:f>
        <x:v>15</x:v>
      </x:c>
      <x:c r="S11" s="68" t="n">
        <x:f>'Read Me'!$B$6-R11</x:f>
        <x:v>0</x:v>
      </x:c>
      <x:c r="T11" s="68" t="str">
        <x:f>IF(AND(C11&gt;=0,C11&lt;=2,C11=INT(C11),D11&gt;=0,D11&lt;=2,D11=INT(D11),E11&gt;=0,E11&lt;=2,E11=INT(E11),F11&gt;=0,F11&lt;=2,F11=INT(F11),G11&gt;=0,G11&lt;=1,G11=INT(G11),IF(D11&gt;0,C11=2,TRUE),IF(E11&gt;0,C11=2,TRUE),IF(F11&gt;0,AND(SUM(C11:E11)&gt;=4,OR(D11=2,E11=2)),TRUE),IF(G11&gt;0,AND(SUM(C11:F11)&gt;=7,F11=2),TRUE),H11&gt;=0,H11&lt;=2,H11=INT(H11),I11&gt;=0,I11&lt;=2,I11=INT(I11),J11&gt;=0,J11&lt;=2,J11=INT(J11),K11&gt;=0,K11&lt;=2,K11=INT(K11),L11&gt;=0,L11&lt;=1,L11=INT(L11),IF(I11&gt;0,H11=2,TRUE),IF(J11&gt;0,H11=2,TRUE),IF(K11&gt;0,AND(SUM(H11:J11)&gt;=4,OR(I11=2,J11=2)),TRUE),IF(L11&gt;0,AND(SUM(H11:K11)&gt;=7,K11=2),TRUE),M11&gt;=0,M11&lt;=2,M11=INT(M11),N11&gt;=0,N11&lt;=2,N11=INT(N11),O11&gt;=0,O11&lt;=2,O11=INT(O11),P11&gt;=0,P11&lt;=2,P11=INT(P11),Q11&gt;=0,Q11&lt;=1,Q11=INT(Q11),IF(N11&gt;0,M11=2,TRUE),IF(O11&gt;0,M11=2,TRUE),IF(P11&gt;0,AND(SUM(M11:O11)&gt;=4,OR(N11=2,O11=2)),TRUE),IF(Q11&gt;0,AND(SUM(M11:P11)&gt;=7,P11=2),TRUE)),"OK","Check ranks/gates")</x:f>
        <x:v>OK</x:v>
      </x:c>
      <x:c r="U11" s="68" t="str">
        <x:f>IF(AND(S11&gt;=0,T11="OK"),"Valid","Review")</x:f>
        <x:v>Valid</x:v>
      </x:c>
    </x:row>
    <x:row r="12" ht="36" customHeight="1">
      <x:c r="A12" s="68" t="str">
        <x:v>Knight</x:v>
      </x:c>
      <x:c r="B12" s="68" t="str">
        <x:v>Counter-crowned duelist</x:v>
      </x:c>
      <x:c r="C12" s="72" t="n">
        <x:v>2</x:v>
      </x:c>
      <x:c r="D12" s="72" t="n">
        <x:v>2</x:v>
      </x:c>
      <x:c r="E12" s="72" t="n">
        <x:v>0</x:v>
      </x:c>
      <x:c r="F12" s="72" t="n">
        <x:v>2</x:v>
      </x:c>
      <x:c r="G12" s="72" t="n">
        <x:v>0</x:v>
      </x:c>
      <x:c r="H12" s="72" t="n">
        <x:v>2</x:v>
      </x:c>
      <x:c r="I12" s="72" t="n">
        <x:v>2</x:v>
      </x:c>
      <x:c r="J12" s="72" t="n">
        <x:v>2</x:v>
      </x:c>
      <x:c r="K12" s="72" t="n">
        <x:v>2</x:v>
      </x:c>
      <x:c r="L12" s="72" t="n">
        <x:v>1</x:v>
      </x:c>
      <x:c r="M12" s="72" t="n">
        <x:v>0</x:v>
      </x:c>
      <x:c r="N12" s="72" t="n">
        <x:v>0</x:v>
      </x:c>
      <x:c r="O12" s="72" t="n">
        <x:v>0</x:v>
      </x:c>
      <x:c r="P12" s="72" t="n">
        <x:v>0</x:v>
      </x:c>
      <x:c r="Q12" s="72" t="n">
        <x:v>0</x:v>
      </x:c>
      <x:c r="R12" s="68" t="n">
        <x:f>SUM(C12:Q12)</x:f>
        <x:v>15</x:v>
      </x:c>
      <x:c r="S12" s="68" t="n">
        <x:f>'Read Me'!$B$6-R12</x:f>
        <x:v>0</x:v>
      </x:c>
      <x:c r="T12" s="68" t="str">
        <x:f>IF(AND(C12&gt;=0,C12&lt;=2,C12=INT(C12),D12&gt;=0,D12&lt;=2,D12=INT(D12),E12&gt;=0,E12&lt;=2,E12=INT(E12),F12&gt;=0,F12&lt;=2,F12=INT(F12),G12&gt;=0,G12&lt;=1,G12=INT(G12),IF(D12&gt;0,C12=2,TRUE),IF(E12&gt;0,C12=2,TRUE),IF(F12&gt;0,AND(SUM(C12:E12)&gt;=4,OR(D12=2,E12=2)),TRUE),IF(G12&gt;0,AND(SUM(C12:F12)&gt;=7,F12=2),TRUE),H12&gt;=0,H12&lt;=2,H12=INT(H12),I12&gt;=0,I12&lt;=2,I12=INT(I12),J12&gt;=0,J12&lt;=2,J12=INT(J12),K12&gt;=0,K12&lt;=2,K12=INT(K12),L12&gt;=0,L12&lt;=1,L12=INT(L12),IF(I12&gt;0,H12=2,TRUE),IF(J12&gt;0,H12=2,TRUE),IF(K12&gt;0,AND(SUM(H12:J12)&gt;=4,OR(I12=2,J12=2)),TRUE),IF(L12&gt;0,AND(SUM(H12:K12)&gt;=7,K12=2),TRUE),M12&gt;=0,M12&lt;=2,M12=INT(M12),N12&gt;=0,N12&lt;=2,N12=INT(N12),O12&gt;=0,O12&lt;=2,O12=INT(O12),P12&gt;=0,P12&lt;=2,P12=INT(P12),Q12&gt;=0,Q12&lt;=1,Q12=INT(Q12),IF(N12&gt;0,M12=2,TRUE),IF(O12&gt;0,M12=2,TRUE),IF(P12&gt;0,AND(SUM(M12:O12)&gt;=4,OR(N12=2,O12=2)),TRUE),IF(Q12&gt;0,AND(SUM(M12:P12)&gt;=7,P12=2),TRUE)),"OK","Check ranks/gates")</x:f>
        <x:v>OK</x:v>
      </x:c>
      <x:c r="U12" s="68" t="str">
        <x:f>IF(AND(S12&gt;=0,T12="OK"),"Valid","Review")</x:f>
        <x:v>Valid</x:v>
      </x:c>
    </x:row>
    <x:row r="13" ht="36" customHeight="1">
      <x:c r="A13" s="68" t="str">
        <x:v>Knight</x:v>
      </x:c>
      <x:c r="B13" s="68" t="str">
        <x:v>Three-banner commander</x:v>
      </x:c>
      <x:c r="C13" s="72" t="n">
        <x:v>2</x:v>
      </x:c>
      <x:c r="D13" s="72" t="n">
        <x:v>2</x:v>
      </x:c>
      <x:c r="E13" s="72" t="n">
        <x:v>2</x:v>
      </x:c>
      <x:c r="F13" s="72" t="n">
        <x:v>0</x:v>
      </x:c>
      <x:c r="G13" s="72" t="n">
        <x:v>0</x:v>
      </x:c>
      <x:c r="H13" s="72" t="n">
        <x:v>0</x:v>
      </x:c>
      <x:c r="I13" s="72" t="n">
        <x:v>0</x:v>
      </x:c>
      <x:c r="J13" s="72" t="n">
        <x:v>0</x:v>
      </x:c>
      <x:c r="K13" s="72" t="n">
        <x:v>0</x:v>
      </x:c>
      <x:c r="L13" s="72" t="n">
        <x:v>0</x:v>
      </x:c>
      <x:c r="M13" s="72" t="n">
        <x:v>2</x:v>
      </x:c>
      <x:c r="N13" s="72" t="n">
        <x:v>2</x:v>
      </x:c>
      <x:c r="O13" s="72" t="n">
        <x:v>2</x:v>
      </x:c>
      <x:c r="P13" s="72" t="n">
        <x:v>2</x:v>
      </x:c>
      <x:c r="Q13" s="72" t="n">
        <x:v>1</x:v>
      </x:c>
      <x:c r="R13" s="68" t="n">
        <x:f>SUM(C13:Q13)</x:f>
        <x:v>15</x:v>
      </x:c>
      <x:c r="S13" s="68" t="n">
        <x:f>'Read Me'!$B$6-R13</x:f>
        <x:v>0</x:v>
      </x:c>
      <x:c r="T13" s="68" t="str">
        <x:f>IF(AND(C13&gt;=0,C13&lt;=2,C13=INT(C13),D13&gt;=0,D13&lt;=2,D13=INT(D13),E13&gt;=0,E13&lt;=2,E13=INT(E13),F13&gt;=0,F13&lt;=2,F13=INT(F13),G13&gt;=0,G13&lt;=1,G13=INT(G13),IF(D13&gt;0,C13=2,TRUE),IF(E13&gt;0,C13=2,TRUE),IF(F13&gt;0,AND(SUM(C13:E13)&gt;=4,OR(D13=2,E13=2)),TRUE),IF(G13&gt;0,AND(SUM(C13:F13)&gt;=7,F13=2),TRUE),H13&gt;=0,H13&lt;=2,H13=INT(H13),I13&gt;=0,I13&lt;=2,I13=INT(I13),J13&gt;=0,J13&lt;=2,J13=INT(J13),K13&gt;=0,K13&lt;=2,K13=INT(K13),L13&gt;=0,L13&lt;=1,L13=INT(L13),IF(I13&gt;0,H13=2,TRUE),IF(J13&gt;0,H13=2,TRUE),IF(K13&gt;0,AND(SUM(H13:J13)&gt;=4,OR(I13=2,J13=2)),TRUE),IF(L13&gt;0,AND(SUM(H13:K13)&gt;=7,K13=2),TRUE),M13&gt;=0,M13&lt;=2,M13=INT(M13),N13&gt;=0,N13&lt;=2,N13=INT(N13),O13&gt;=0,O13&lt;=2,O13=INT(O13),P13&gt;=0,P13&lt;=2,P13=INT(P13),Q13&gt;=0,Q13&lt;=1,Q13=INT(Q13),IF(N13&gt;0,M13=2,TRUE),IF(O13&gt;0,M13=2,TRUE),IF(P13&gt;0,AND(SUM(M13:O13)&gt;=4,OR(N13=2,O13=2)),TRUE),IF(Q13&gt;0,AND(SUM(M13:P13)&gt;=7,P13=2),TRUE)),"OK","Check ranks/gates")</x:f>
        <x:v>OK</x:v>
      </x:c>
      <x:c r="U13" s="68" t="str">
        <x:f>IF(AND(S13&gt;=0,T13="OK"),"Valid","Review")</x:f>
        <x:v>Valid</x:v>
      </x:c>
    </x:row>
    <x:row r="14" ht="36" customHeight="1">
      <x:c r="A14" s="68" t="str">
        <x:v>Hunter</x:v>
      </x:c>
      <x:c r="B14" s="68" t="str">
        <x:v>Patient executioner</x:v>
      </x:c>
      <x:c r="C14" s="72" t="n">
        <x:v>2</x:v>
      </x:c>
      <x:c r="D14" s="72" t="n">
        <x:v>2</x:v>
      </x:c>
      <x:c r="E14" s="72" t="n">
        <x:v>2</x:v>
      </x:c>
      <x:c r="F14" s="72" t="n">
        <x:v>2</x:v>
      </x:c>
      <x:c r="G14" s="72" t="n">
        <x:v>1</x:v>
      </x:c>
      <x:c r="H14" s="72" t="n">
        <x:v>2</x:v>
      </x:c>
      <x:c r="I14" s="72" t="n">
        <x:v>2</x:v>
      </x:c>
      <x:c r="J14" s="72" t="n">
        <x:v>0</x:v>
      </x:c>
      <x:c r="K14" s="72" t="n">
        <x:v>2</x:v>
      </x:c>
      <x:c r="L14" s="72" t="n">
        <x:v>0</x:v>
      </x:c>
      <x:c r="M14" s="72" t="n">
        <x:v>0</x:v>
      </x:c>
      <x:c r="N14" s="72" t="n">
        <x:v>0</x:v>
      </x:c>
      <x:c r="O14" s="72" t="n">
        <x:v>0</x:v>
      </x:c>
      <x:c r="P14" s="72" t="n">
        <x:v>0</x:v>
      </x:c>
      <x:c r="Q14" s="72" t="n">
        <x:v>0</x:v>
      </x:c>
      <x:c r="R14" s="68" t="n">
        <x:f>SUM(C14:Q14)</x:f>
        <x:v>15</x:v>
      </x:c>
      <x:c r="S14" s="68" t="n">
        <x:f>'Read Me'!$B$6-R14</x:f>
        <x:v>0</x:v>
      </x:c>
      <x:c r="T14" s="68" t="str">
        <x:f>IF(AND(C14&gt;=0,C14&lt;=2,C14=INT(C14),D14&gt;=0,D14&lt;=2,D14=INT(D14),E14&gt;=0,E14&lt;=2,E14=INT(E14),F14&gt;=0,F14&lt;=2,F14=INT(F14),G14&gt;=0,G14&lt;=1,G14=INT(G14),IF(D14&gt;0,C14=2,TRUE),IF(E14&gt;0,C14=2,TRUE),IF(F14&gt;0,AND(SUM(C14:E14)&gt;=4,OR(D14=2,E14=2)),TRUE),IF(G14&gt;0,AND(SUM(C14:F14)&gt;=7,F14=2),TRUE),H14&gt;=0,H14&lt;=2,H14=INT(H14),I14&gt;=0,I14&lt;=2,I14=INT(I14),J14&gt;=0,J14&lt;=2,J14=INT(J14),K14&gt;=0,K14&lt;=2,K14=INT(K14),L14&gt;=0,L14&lt;=1,L14=INT(L14),IF(I14&gt;0,H14=2,TRUE),IF(J14&gt;0,H14=2,TRUE),IF(K14&gt;0,AND(SUM(H14:J14)&gt;=4,OR(I14=2,J14=2)),TRUE),IF(L14&gt;0,AND(SUM(H14:K14)&gt;=7,K14=2),TRUE),M14&gt;=0,M14&lt;=2,M14=INT(M14),N14&gt;=0,N14&lt;=2,N14=INT(N14),O14&gt;=0,O14&lt;=2,O14=INT(O14),P14&gt;=0,P14&lt;=2,P14=INT(P14),Q14&gt;=0,Q14&lt;=1,Q14=INT(Q14),IF(N14&gt;0,M14=2,TRUE),IF(O14&gt;0,M14=2,TRUE),IF(P14&gt;0,AND(SUM(M14:O14)&gt;=4,OR(N14=2,O14=2)),TRUE),IF(Q14&gt;0,AND(SUM(M14:P14)&gt;=7,P14=2),TRUE)),"OK","Check ranks/gates")</x:f>
        <x:v>OK</x:v>
      </x:c>
      <x:c r="U14" s="68" t="str">
        <x:f>IF(AND(S14&gt;=0,T14="OK"),"Valid","Review")</x:f>
        <x:v>Valid</x:v>
      </x:c>
    </x:row>
    <x:row r="15" ht="36" customHeight="1">
      <x:c r="A15" s="68" t="str">
        <x:v>Hunter</x:v>
      </x:c>
      <x:c r="B15" s="68" t="str">
        <x:v>Bonded pack captain</x:v>
      </x:c>
      <x:c r="C15" s="72" t="n">
        <x:v>2</x:v>
      </x:c>
      <x:c r="D15" s="72" t="n">
        <x:v>0</x:v>
      </x:c>
      <x:c r="E15" s="72" t="n">
        <x:v>2</x:v>
      </x:c>
      <x:c r="F15" s="72" t="n">
        <x:v>2</x:v>
      </x:c>
      <x:c r="G15" s="72" t="n">
        <x:v>0</x:v>
      </x:c>
      <x:c r="H15" s="72" t="n">
        <x:v>2</x:v>
      </x:c>
      <x:c r="I15" s="72" t="n">
        <x:v>2</x:v>
      </x:c>
      <x:c r="J15" s="72" t="n">
        <x:v>2</x:v>
      </x:c>
      <x:c r="K15" s="72" t="n">
        <x:v>2</x:v>
      </x:c>
      <x:c r="L15" s="72" t="n">
        <x:v>1</x:v>
      </x:c>
      <x:c r="M15" s="72" t="n">
        <x:v>0</x:v>
      </x:c>
      <x:c r="N15" s="72" t="n">
        <x:v>0</x:v>
      </x:c>
      <x:c r="O15" s="72" t="n">
        <x:v>0</x:v>
      </x:c>
      <x:c r="P15" s="72" t="n">
        <x:v>0</x:v>
      </x:c>
      <x:c r="Q15" s="72" t="n">
        <x:v>0</x:v>
      </x:c>
      <x:c r="R15" s="68" t="n">
        <x:f>SUM(C15:Q15)</x:f>
        <x:v>15</x:v>
      </x:c>
      <x:c r="S15" s="68" t="n">
        <x:f>'Read Me'!$B$6-R15</x:f>
        <x:v>0</x:v>
      </x:c>
      <x:c r="T15" s="68" t="str">
        <x:f>IF(AND(C15&gt;=0,C15&lt;=2,C15=INT(C15),D15&gt;=0,D15&lt;=2,D15=INT(D15),E15&gt;=0,E15&lt;=2,E15=INT(E15),F15&gt;=0,F15&lt;=2,F15=INT(F15),G15&gt;=0,G15&lt;=1,G15=INT(G15),IF(D15&gt;0,C15=2,TRUE),IF(E15&gt;0,C15=2,TRUE),IF(F15&gt;0,AND(SUM(C15:E15)&gt;=4,OR(D15=2,E15=2)),TRUE),IF(G15&gt;0,AND(SUM(C15:F15)&gt;=7,F15=2),TRUE),H15&gt;=0,H15&lt;=2,H15=INT(H15),I15&gt;=0,I15&lt;=2,I15=INT(I15),J15&gt;=0,J15&lt;=2,J15=INT(J15),K15&gt;=0,K15&lt;=2,K15=INT(K15),L15&gt;=0,L15&lt;=1,L15=INT(L15),IF(I15&gt;0,H15=2,TRUE),IF(J15&gt;0,H15=2,TRUE),IF(K15&gt;0,AND(SUM(H15:J15)&gt;=4,OR(I15=2,J15=2)),TRUE),IF(L15&gt;0,AND(SUM(H15:K15)&gt;=7,K15=2),TRUE),M15&gt;=0,M15&lt;=2,M15=INT(M15),N15&gt;=0,N15&lt;=2,N15=INT(N15),O15&gt;=0,O15&lt;=2,O15=INT(O15),P15&gt;=0,P15&lt;=2,P15=INT(P15),Q15&gt;=0,Q15&lt;=1,Q15=INT(Q15),IF(N15&gt;0,M15=2,TRUE),IF(O15&gt;0,M15=2,TRUE),IF(P15&gt;0,AND(SUM(M15:O15)&gt;=4,OR(N15=2,O15=2)),TRUE),IF(Q15&gt;0,AND(SUM(M15:P15)&gt;=7,P15=2),TRUE)),"OK","Check ranks/gates")</x:f>
        <x:v>OK</x:v>
      </x:c>
      <x:c r="U15" s="68" t="str">
        <x:f>IF(AND(S15&gt;=0,T15="OK"),"Valid","Review")</x:f>
        <x:v>Valid</x:v>
      </x:c>
    </x:row>
    <x:row r="16" ht="36" customHeight="1">
      <x:c r="A16" s="68" t="str">
        <x:v>Hunter</x:v>
      </x:c>
      <x:c r="B16" s="68" t="str">
        <x:v>Entrenched trapper</x:v>
      </x:c>
      <x:c r="C16" s="72" t="n">
        <x:v>0</x:v>
      </x:c>
      <x:c r="D16" s="72" t="n">
        <x:v>0</x:v>
      </x:c>
      <x:c r="E16" s="72" t="n">
        <x:v>0</x:v>
      </x:c>
      <x:c r="F16" s="72" t="n">
        <x:v>0</x:v>
      </x:c>
      <x:c r="G16" s="72" t="n">
        <x:v>0</x:v>
      </x:c>
      <x:c r="H16" s="72" t="n">
        <x:v>2</x:v>
      </x:c>
      <x:c r="I16" s="72" t="n">
        <x:v>0</x:v>
      </x:c>
      <x:c r="J16" s="72" t="n">
        <x:v>2</x:v>
      </x:c>
      <x:c r="K16" s="72" t="n">
        <x:v>2</x:v>
      </x:c>
      <x:c r="L16" s="72" t="n">
        <x:v>0</x:v>
      </x:c>
      <x:c r="M16" s="72" t="n">
        <x:v>2</x:v>
      </x:c>
      <x:c r="N16" s="72" t="n">
        <x:v>2</x:v>
      </x:c>
      <x:c r="O16" s="72" t="n">
        <x:v>2</x:v>
      </x:c>
      <x:c r="P16" s="72" t="n">
        <x:v>2</x:v>
      </x:c>
      <x:c r="Q16" s="72" t="n">
        <x:v>1</x:v>
      </x:c>
      <x:c r="R16" s="68" t="n">
        <x:f>SUM(C16:Q16)</x:f>
        <x:v>15</x:v>
      </x:c>
      <x:c r="S16" s="68" t="n">
        <x:f>'Read Me'!$B$6-R16</x:f>
        <x:v>0</x:v>
      </x:c>
      <x:c r="T16" s="68" t="str">
        <x:f>IF(AND(C16&gt;=0,C16&lt;=2,C16=INT(C16),D16&gt;=0,D16&lt;=2,D16=INT(D16),E16&gt;=0,E16&lt;=2,E16=INT(E16),F16&gt;=0,F16&lt;=2,F16=INT(F16),G16&gt;=0,G16&lt;=1,G16=INT(G16),IF(D16&gt;0,C16=2,TRUE),IF(E16&gt;0,C16=2,TRUE),IF(F16&gt;0,AND(SUM(C16:E16)&gt;=4,OR(D16=2,E16=2)),TRUE),IF(G16&gt;0,AND(SUM(C16:F16)&gt;=7,F16=2),TRUE),H16&gt;=0,H16&lt;=2,H16=INT(H16),I16&gt;=0,I16&lt;=2,I16=INT(I16),J16&gt;=0,J16&lt;=2,J16=INT(J16),K16&gt;=0,K16&lt;=2,K16=INT(K16),L16&gt;=0,L16&lt;=1,L16=INT(L16),IF(I16&gt;0,H16=2,TRUE),IF(J16&gt;0,H16=2,TRUE),IF(K16&gt;0,AND(SUM(H16:J16)&gt;=4,OR(I16=2,J16=2)),TRUE),IF(L16&gt;0,AND(SUM(H16:K16)&gt;=7,K16=2),TRUE),M16&gt;=0,M16&lt;=2,M16=INT(M16),N16&gt;=0,N16&lt;=2,N16=INT(N16),O16&gt;=0,O16&lt;=2,O16=INT(O16),P16&gt;=0,P16&lt;=2,P16=INT(P16),Q16&gt;=0,Q16&lt;=1,Q16=INT(Q16),IF(N16&gt;0,M16=2,TRUE),IF(O16&gt;0,M16=2,TRUE),IF(P16&gt;0,AND(SUM(M16:O16)&gt;=4,OR(N16=2,O16=2)),TRUE),IF(Q16&gt;0,AND(SUM(M16:P16)&gt;=7,P16=2),TRUE)),"OK","Check ranks/gates")</x:f>
        <x:v>OK</x:v>
      </x:c>
      <x:c r="U16" s="68" t="str">
        <x:f>IF(AND(S16&gt;=0,T16="OK"),"Valid","Review")</x:f>
        <x:v>Valid</x:v>
      </x:c>
    </x:row>
  </x:sheetData>
  <x:mergeCells>
    <x:mergeCell ref="A1:U2"/>
    <x:mergeCell ref="A3:U3"/>
  </x:mergeCells>
  <x:conditionalFormatting sqref="S5:S16">
    <x:cfRule type="cellIs" dxfId="0" priority="1" operator="lessThan">
      <x:formula>0</x:formula>
    </x:cfRule>
  </x:conditionalFormatting>
  <x:dataValidations count="15">
    <x:dataValidation type="list" sqref="C5:C16">
      <x:formula1>"0,1,2"</x:formula1>
    </x:dataValidation>
    <x:dataValidation type="list" sqref="D5:D16">
      <x:formula1>"0,1,2"</x:formula1>
    </x:dataValidation>
    <x:dataValidation type="list" sqref="E5:E16">
      <x:formula1>"0,1,2"</x:formula1>
    </x:dataValidation>
    <x:dataValidation type="list" sqref="F5:F16">
      <x:formula1>"0,1,2"</x:formula1>
    </x:dataValidation>
    <x:dataValidation type="list" sqref="G5:G16">
      <x:formula1>"0,1"</x:formula1>
    </x:dataValidation>
    <x:dataValidation type="list" sqref="H5:H16">
      <x:formula1>"0,1,2"</x:formula1>
    </x:dataValidation>
    <x:dataValidation type="list" sqref="I5:I16">
      <x:formula1>"0,1,2"</x:formula1>
    </x:dataValidation>
    <x:dataValidation type="list" sqref="J5:J16">
      <x:formula1>"0,1,2"</x:formula1>
    </x:dataValidation>
    <x:dataValidation type="list" sqref="K5:K16">
      <x:formula1>"0,1,2"</x:formula1>
    </x:dataValidation>
    <x:dataValidation type="list" sqref="L5:L16">
      <x:formula1>"0,1"</x:formula1>
    </x:dataValidation>
    <x:dataValidation type="list" sqref="M5:M16">
      <x:formula1>"0,1,2"</x:formula1>
    </x:dataValidation>
    <x:dataValidation type="list" sqref="N5:N16">
      <x:formula1>"0,1,2"</x:formula1>
    </x:dataValidation>
    <x:dataValidation type="list" sqref="O5:O16">
      <x:formula1>"0,1,2"</x:formula1>
    </x:dataValidation>
    <x:dataValidation type="list" sqref="P5:P16">
      <x:formula1>"0,1,2"</x:formula1>
    </x:dataValidation>
    <x:dataValidation type="list" sqref="Q5:Q16">
      <x:formula1>"0,1"</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24" hidden="0" customWidth="1"/>
    <x:col min="3" max="3" width="8" hidden="0" customWidth="1"/>
    <x:col min="4" max="4" width="32" hidden="0" customWidth="1"/>
    <x:col min="5" max="5" width="35" hidden="0" customWidth="1"/>
    <x:col min="6" max="6" width="40" hidden="0" customWidth="1"/>
    <x:col min="7" max="7" width="28" hidden="0" customWidth="1"/>
    <x:col min="8" max="8" width="50" hidden="0" customWidth="1"/>
    <x:col min="9" max="9" width="42" hidden="0" customWidth="1"/>
    <x:col min="10" max="10" width="28" hidden="0" customWidth="1"/>
  </x:cols>
  <x:sheetData>
    <x:row r="1" ht="24" customHeight="1">
      <x:c r="A1" s="4" t="str">
        <x:v>TWELVE PLAYABLE DIRECTIONS</x:v>
      </x:c>
      <x:c r="B1" s="4"/>
      <x:c r="C1" s="4"/>
      <x:c r="D1" s="4"/>
      <x:c r="E1" s="4"/>
      <x:c r="F1" s="4"/>
      <x:c r="G1" s="4"/>
      <x:c r="H1" s="4"/>
      <x:c r="I1" s="4"/>
      <x:c r="J1" s="4"/>
    </x:row>
    <x:row r="2" ht="24" customHeight="1">
      <x:c r="A2" s="4"/>
      <x:c r="B2" s="4"/>
      <x:c r="C2" s="4"/>
      <x:c r="D2" s="4"/>
      <x:c r="E2" s="4"/>
      <x:c r="F2" s="4"/>
      <x:c r="G2" s="4"/>
      <x:c r="H2" s="4"/>
      <x:c r="I2" s="4"/>
      <x:c r="J2" s="4"/>
    </x:row>
    <x:row r="3" ht="35" customHeight="1">
      <x:c r="A3" s="9" t="str">
        <x:v>Every example spends 15 points legally. See Allocations for exact editable ranks; these are loadout roles, not a finalized active-skill catalog.</x:v>
      </x:c>
      <x:c r="B3" s="9"/>
      <x:c r="C3" s="9"/>
      <x:c r="D3" s="9"/>
      <x:c r="E3" s="9"/>
      <x:c r="F3" s="9"/>
      <x:c r="G3" s="9"/>
      <x:c r="H3" s="9"/>
      <x:c r="I3" s="9"/>
      <x:c r="J3" s="9"/>
    </x:row>
    <x:row r="4" ht="30" customHeight="1">
      <x:c r="A4" s="47" t="str">
        <x:v>Class</x:v>
      </x:c>
      <x:c r="B4" s="47" t="str">
        <x:v>Build</x:v>
      </x:c>
      <x:c r="C4" s="47" t="str">
        <x:v>Points</x:v>
      </x:c>
      <x:c r="D4" s="47" t="str">
        <x:v>Branch distribution</x:v>
      </x:c>
      <x:c r="E4" s="47" t="str">
        <x:v>Stat priorities</x:v>
      </x:c>
      <x:c r="F4" s="47" t="str">
        <x:v>Active-slot roles</x:v>
      </x:c>
      <x:c r="G4" s="47" t="str">
        <x:v>Example monsters</x:v>
      </x:c>
      <x:c r="H4" s="47" t="str">
        <x:v>Tactical plan</x:v>
      </x:c>
      <x:c r="I4" s="47" t="str">
        <x:v>Trade-off</x:v>
      </x:c>
      <x:c r="J4" s="47" t="str">
        <x:v>Source / scope</x:v>
      </x:c>
    </x:row>
    <x:row r="5" ht="120" customHeight="1">
      <x:c r="A5" s="54" t="str">
        <x:v>Mage</x:v>
      </x:c>
      <x:c r="B5" s="54" t="str">
        <x:v>Spell-cycle artillery</x:v>
      </x:c>
      <x:c r="C5" s="54" t="n">
        <x:f>Allocations!R5</x:f>
        <x:v>15</x:v>
      </x:c>
      <x:c r="D5" s="54" t="str">
        <x:v>9 Living Grimoire + 6 Prism Warder</x:v>
      </x:c>
      <x:c r="E5" s="54" t="str">
        <x:v>INT/MATK &gt; VIT; modest AGI only if Conduit charges are routinely left unused.</x:v>
      </x:c>
      <x:c r="F5" s="54" t="str">
        <x:v>Three damaging actives for burst, or two damage + one ward to select Grimoire's protective capstone mode.</x:v>
      </x:c>
      <x:c r="G5" s="54" t="str">
        <x:v>Tuskettle + Echochime</x:v>
      </x:c>
      <x:c r="H5" s="54" t="str">
        <x:v>Tuskettle protects the mage; the mage cycles all three slots; Echochime copies only eligible base primary spell amounts, not tree bonuses. Secondary Prism investment makes ordinary casts shield the mage and a companion.</x:v>
      </x:c>
      <x:c r="I5" s="54" t="str">
        <x:v>A conditional skill that never casts delays the Script. Raw lethal damage bypasses all after-survival effects.</x:v>
      </x:c>
      <x:c r="J5" s="54" t="str">
        <x:v>Pairing uses supplied v2 species kits; monster stat growth not reallocated</x:v>
      </x:c>
    </x:row>
    <x:row r="6" ht="120" customHeight="1">
      <x:c r="A6" s="54" t="str">
        <x:v>Mage</x:v>
      </x:c>
      <x:c r="B6" s="54" t="str">
        <x:v>Armored spellwright</x:v>
      </x:c>
      <x:c r="C6" s="54" t="n">
        <x:f>Allocations!R6</x:f>
        <x:v>15</x:v>
      </x:c>
      <x:c r="D6" s="54" t="str">
        <x:v>9 Prism Warder + 6 Astral Architect</x:v>
      </x:c>
      <x:c r="E6" s="54" t="str">
        <x:v>INT/MATK and VIT/HP; prioritize enough HP to use the capped shield pools well.</x:v>
      </x:c>
      <x:c r="F6" s="54" t="str">
        <x:v>One reliable damage active + one personal ward + one utility or damage active.</x:v>
      </x:c>
      <x:c r="G6" s="54" t="str">
        <x:v>Crucibulk + Moonweaver</x:v>
      </x:c>
      <x:c r="H6" s="54" t="str">
        <x:v>Repeated casts generate facets, and a durable Lens supplies limited extra output. Crucibulk and Moonweaver complement a shield-heavy team; this does not require changing either monster's innate attack base.</x:v>
      </x:c>
      <x:c r="I6" s="54" t="str">
        <x:v>Shield dispels and excessive mitigation bypass require testing; less front-loaded damage than Grimoire.</x:v>
      </x:c>
      <x:c r="J6" s="54" t="str">
        <x:v>Pairing uses supplied v2 species kits; monster stat growth not reallocated</x:v>
      </x:c>
    </x:row>
    <x:row r="7" ht="120" customHeight="1">
      <x:c r="A7" s="54" t="str">
        <x:v>Mage</x:v>
      </x:c>
      <x:c r="B7" s="54" t="str">
        <x:v>Orrery conductor</x:v>
      </x:c>
      <x:c r="C7" s="54" t="n">
        <x:f>Allocations!R7</x:f>
        <x:v>15</x:v>
      </x:c>
      <x:c r="D7" s="54" t="str">
        <x:v>9 Astral Architect + 6 Living Grimoire</x:v>
      </x:c>
      <x:c r="E7" s="54" t="str">
        <x:v>INT/MATK &gt; VIT/HP. Do not buy AGI expecting it to accelerate Lens shots.</x:v>
      </x:c>
      <x:c r="F7" s="54" t="str">
        <x:v>Three regularly usable actives; retain a ward if the encounter threatens the trainer.</x:v>
      </x:c>
      <x:c r="G7" s="54" t="str">
        <x:v>Elderroot + Saffrune</x:v>
      </x:c>
      <x:c r="H7" s="54" t="str">
        <x:v>Elderroot occupies the frontline while Saffrune contributes real active casts. Each core monster can command one extra bolt per deployment; no amount of summoned-body count increases that cap.</x:v>
      </x:c>
      <x:c r="I7" s="54" t="str">
        <x:v>Destroying the Lens removes unpaid shots and stored Equation. Saffrune's core-only buffs do not automatically buff the Lens.</x:v>
      </x:c>
      <x:c r="J7" s="54" t="str">
        <x:v>Pairing uses supplied v2 species kits; monster stat growth not reallocated</x:v>
      </x:c>
    </x:row>
    <x:row r="8" ht="120" customHeight="1">
      <x:c r="A8" s="54" t="str">
        <x:v>Druid</x:v>
      </x:c>
      <x:c r="B8" s="54" t="str">
        <x:v>Seedkeeper medic</x:v>
      </x:c>
      <x:c r="C8" s="54" t="n">
        <x:f>Allocations!R8</x:f>
        <x:v>15</x:v>
      </x:c>
      <x:c r="D8" s="54" t="str">
        <x:v>9 Lifebloom + 6 Thorn Covenant</x:v>
      </x:c>
      <x:c r="E8" s="54" t="str">
        <x:v>INT/MATK &gt; VIT/HP.</x:v>
      </x:c>
      <x:c r="F8" s="54" t="str">
        <x:v>Frequent direct heal + primary ward or second heal + large recovery.</x:v>
      </x:c>
      <x:c r="G8" s="54" t="str">
        <x:v>Tuskettle + Hushowl</x:v>
      </x:c>
      <x:c r="H8" s="54" t="str">
        <x:v>Primary recovery plants Seeds and Briars. Tuskettle buys reaction time; Hushowl weakens enemy active pressure. Thorn retaliation adds bounded pressure even while the druid devotes slots to healing.</x:v>
      </x:c>
      <x:c r="I8" s="54" t="str">
        <x:v>Can stall without enough team damage. Seeds do not heal through death, and passive healing cannot perpetually reseed.</x:v>
      </x:c>
      <x:c r="J8" s="54" t="str">
        <x:v>Pairing uses supplied v2 species kits; monster stat growth not reallocated</x:v>
      </x:c>
    </x:row>
    <x:row r="9" ht="120" customHeight="1">
      <x:c r="A9" s="54" t="str">
        <x:v>Druid</x:v>
      </x:c>
      <x:c r="B9" s="54" t="str">
        <x:v>Briar covenant</x:v>
      </x:c>
      <x:c r="C9" s="54" t="n">
        <x:f>Allocations!R9</x:f>
        <x:v>15</x:v>
      </x:c>
      <x:c r="D9" s="54" t="str">
        <x:v>9 Thorn Covenant + 6 Lifebloom</x:v>
      </x:c>
      <x:c r="E9" s="54" t="str">
        <x:v>INT/MATK, then VIT/HP; no STR requirement for the druid or an INT respec for the monsters.</x:v>
      </x:c>
      <x:c r="F9" s="54" t="str">
        <x:v>Direct heal + primary ward + one damaging or large-heal active.</x:v>
      </x:c>
      <x:c r="G9" s="54" t="str">
        <x:v>Fluffyak + Inkmarten</x:v>
      </x:c>
      <x:c r="H9" s="54" t="str">
        <x:v>Healing and shielding arm two fixed-stat physical monsters with finite MATK-based thorn payloads. Fluffyak can spend charges under pressure; Inkmarten can spend them offensively. The Lifebloom side supplies initial Seeds and surplus-heal shields.</x:v>
      </x:c>
      <x:c r="I9" s="54" t="str">
        <x:v>Charge caps prevent a high-ASPD monster from gaining permanent unlimited bonus damage. Very short burst encounters can outrun recovery.</x:v>
      </x:c>
      <x:c r="J9" s="54" t="str">
        <x:v>Pairing uses supplied v2 species kits; monster stat growth not reallocated</x:v>
      </x:c>
    </x:row>
    <x:row r="10" ht="120" customHeight="1">
      <x:c r="A10" s="54" t="str">
        <x:v>Druid</x:v>
      </x:c>
      <x:c r="B10" s="54" t="str">
        <x:v>Living siege garden</x:v>
      </x:c>
      <x:c r="C10" s="54" t="n">
        <x:f>Allocations!R10</x:f>
        <x:v>15</x:v>
      </x:c>
      <x:c r="D10" s="54" t="str">
        <x:v>9 Grovekeeper + 6 Thorn Covenant</x:v>
      </x:c>
      <x:c r="E10" s="54" t="str">
        <x:v>INT/MATK and VIT/HP.</x:v>
      </x:c>
      <x:c r="F10" s="54" t="str">
        <x:v>Primary heal + primary ward + damage or recovery according to the encounter.</x:v>
      </x:c>
      <x:c r="G10" s="54" t="str">
        <x:v>Elderroot + Emberorchid</x:v>
      </x:c>
      <x:c r="H10" s="54" t="str">
        <x:v>Heartwood repairs one finite summon/structure per pulse. Elderroot's saplings and Emberorchid's turret provide worthwhile repair choices; the Barkling supplies a separate limited guardian option.</x:v>
      </x:c>
      <x:c r="I10" s="54" t="str">
        <x:v>One pulse cannot repair the whole army. Cleave or losing Heartwood removes several layers of planned value, and the monsters' own active limits remain unchanged.</x:v>
      </x:c>
      <x:c r="J10" s="54" t="str">
        <x:v>Pairing uses supplied v2 species kits; monster stat growth not reallocated</x:v>
      </x:c>
    </x:row>
    <x:row r="11" ht="120" customHeight="1">
      <x:c r="A11" s="54" t="str">
        <x:v>Knight</x:v>
      </x:c>
      <x:c r="B11" s="54" t="str">
        <x:v>Unbroken citadel</x:v>
      </x:c>
      <x:c r="C11" s="54" t="n">
        <x:f>Allocations!R11</x:f>
        <x:v>15</x:v>
      </x:c>
      <x:c r="D11" s="54" t="str">
        <x:v>9 Bastion + 6 Bannerlord</x:v>
      </x:c>
      <x:c r="E11" s="54" t="str">
        <x:v>VIT/HP + DEF/MDEF, then STR/ATK and reliable HIT.</x:v>
      </x:c>
      <x:c r="F11" s="54" t="str">
        <x:v>One reliable damaging active + one self-defense active + one larger defense or control active.</x:v>
      </x:c>
      <x:c r="G11" s="54" t="str">
        <x:v>Glowcap + Emberorchid</x:v>
      </x:c>
      <x:c r="H11" s="54" t="str">
        <x:v>The knight smooths spikes into debt, Glowcap restores actual HP to clear part of that debt, and Emberorchid supplies damage. Bannerlord side talents let real skill casts support companion basics and shields.</x:v>
      </x:c>
      <x:c r="I11" s="54" t="str">
        <x:v>Low effective healing leaves debt unpaid. Stagger damage can kill; it is not extra maximum HP.</x:v>
      </x:c>
      <x:c r="J11" s="54" t="str">
        <x:v>Pairing uses supplied v2 species kits; monster stat growth not reallocated</x:v>
      </x:c>
    </x:row>
    <x:row r="12" ht="120" customHeight="1">
      <x:c r="A12" s="54" t="str">
        <x:v>Knight</x:v>
      </x:c>
      <x:c r="B12" s="54" t="str">
        <x:v>Counter-crowned duelist</x:v>
      </x:c>
      <x:c r="C12" s="54" t="n">
        <x:f>Allocations!R12</x:f>
        <x:v>15</x:v>
      </x:c>
      <x:c r="D12" s="54" t="str">
        <x:v>9 Iron Reprisal + 6 Bastion</x:v>
      </x:c>
      <x:c r="E12" s="54" t="str">
        <x:v>STR/ATK and VIT/HP; enough HIT to land prepared counters; AGI only after survival is covered.</x:v>
      </x:c>
      <x:c r="F12" s="54" t="str">
        <x:v>Two damage actives + one reliable self-defense active.</x:v>
      </x:c>
      <x:c r="G12" s="54" t="str">
        <x:v>Glowcap + Lumimoth</x:v>
      </x:c>
      <x:c r="H12" s="54" t="str">
        <x:v>Enemy attacks and real casts build Resolve. Land counters for a little healing and shielding, then follow with a Ledger-enhanced active. Lumimoth supports accuracy; Glowcap covers the deferred damage.</x:v>
      </x:c>
      <x:c r="I12" s="54" t="str">
        <x:v>Misses/disarm delay Reprisal. This allocation has Stagger but not Citadel Heart's extra debt clearing.</x:v>
      </x:c>
      <x:c r="J12" s="54" t="str">
        <x:v>Pairing uses supplied v2 species kits; monster stat growth not reallocated</x:v>
      </x:c>
    </x:row>
    <x:row r="13" ht="120" customHeight="1">
      <x:c r="A13" s="54" t="str">
        <x:v>Knight</x:v>
      </x:c>
      <x:c r="B13" s="54" t="str">
        <x:v>Three-banner commander</x:v>
      </x:c>
      <x:c r="C13" s="54" t="n">
        <x:f>Allocations!R13</x:f>
        <x:v>15</x:v>
      </x:c>
      <x:c r="D13" s="54" t="str">
        <x:v>9 Bannerlord + 6 Bastion</x:v>
      </x:c>
      <x:c r="E13" s="54" t="str">
        <x:v>VIT/HP first, STR/ATK next, sufficient HIT.</x:v>
      </x:c>
      <x:c r="F13" s="54" t="str">
        <x:v>Damage + self-defense + another frequently usable active.</x:v>
      </x:c>
      <x:c r="G13" s="54" t="str">
        <x:v>Glowcap + Skycorolla</x:v>
      </x:c>
      <x:c r="H13" s="54" t="str">
        <x:v>Keep a healer and ranged damage monster participating from legal positions. All three units' primary hits can produce Banner of Three against the same enemy; the knight's shields also protect the core monsters.</x:v>
      </x:c>
      <x:c r="I13" s="54" t="str">
        <x:v>The capstone weakens when a monster cannot reach the common target or spends the whole encounter without attacking. No summoned creature can replace a missing participant.</x:v>
      </x:c>
      <x:c r="J13" s="54" t="str">
        <x:v>Pairing uses supplied v2 species kits; monster stat growth not reallocated</x:v>
      </x:c>
    </x:row>
    <x:row r="14" ht="120" customHeight="1">
      <x:c r="A14" s="54" t="str">
        <x:v>Hunter</x:v>
      </x:c>
      <x:c r="B14" s="54" t="str">
        <x:v>Patient executioner</x:v>
      </x:c>
      <x:c r="C14" s="54" t="n">
        <x:f>Allocations!R14</x:f>
        <x:v>15</x:v>
      </x:c>
      <x:c r="D14" s="54" t="str">
        <x:v>9 Deadeye + 6 Packleader</x:v>
      </x:c>
      <x:c r="E14" s="54" t="str">
        <x:v>DEX/ATK + LUK/CRIT, then AGI or VIT as needed; do not neglect HIT.</x:v>
      </x:c>
      <x:c r="F14" s="54" t="str">
        <x:v>Three damage actives, or two damage + a defensive utility skill if boss pressure demands it.</x:v>
      </x:c>
      <x:c r="G14" s="54" t="str">
        <x:v>Tuskettle + Lumimoth</x:v>
      </x:c>
      <x:c r="H14" s="54" t="str">
        <x:v>Build Focus through accurate natural basics, then turn critical investment into stored Perfect Arrows. The Packleader side rewards the two companions hitting the same accessible target.</x:v>
      </x:c>
      <x:c r="I14" s="54" t="str">
        <x:v>Focus and crit thresholds are not guaranteed in an extremely short fight. Perfect Arrow only guarantees its bonus packet, not the entire active.</x:v>
      </x:c>
      <x:c r="J14" s="54" t="str">
        <x:v>Pairing uses supplied v2 species kits; monster stat growth not reallocated</x:v>
      </x:c>
    </x:row>
    <x:row r="15" ht="120" customHeight="1">
      <x:c r="A15" s="54" t="str">
        <x:v>Hunter</x:v>
      </x:c>
      <x:c r="B15" s="54" t="str">
        <x:v>Bonded pack captain</x:v>
      </x:c>
      <x:c r="C15" s="54" t="n">
        <x:f>Allocations!R15</x:f>
        <x:v>15</x:v>
      </x:c>
      <x:c r="D15" s="54" t="str">
        <x:v>9 Packleader + 6 Deadeye</x:v>
      </x:c>
      <x:c r="E15" s="54" t="str">
        <x:v>DEX/ATK + AGI/ASPD, with adequate VIT and HIT; LUK is optional.</x:v>
      </x:c>
      <x:c r="F15" s="54" t="str">
        <x:v>At least two regularly usable damaging actives to maintain Signal and issue bounded commands.</x:v>
      </x:c>
      <x:c r="G15" s="54" t="str">
        <x:v>Elderroot + Hushowl</x:v>
      </x:c>
      <x:c r="H15" s="54" t="str">
        <x:v>Pair one frontliner with one attacker that can join focus fire. Hunter skills mark and command; real companion hits build Crossfire. Opening Focus and Called Shot keep the trainer personally dangerous.</x:v>
      </x:c>
      <x:c r="I15" s="54" t="str">
        <x:v>Alpha's Command affects the two core monsters, not saplings, ants or turrets. It cannot manufacture legal range.</x:v>
      </x:c>
      <x:c r="J15" s="54" t="str">
        <x:v>Pairing uses supplied v2 species kits; monster stat growth not reallocated</x:v>
      </x:c>
    </x:row>
    <x:row r="16" ht="120" customHeight="1">
      <x:c r="A16" s="54" t="str">
        <x:v>Hunter</x:v>
      </x:c>
      <x:c r="B16" s="54" t="str">
        <x:v>Entrenched trapper</x:v>
      </x:c>
      <x:c r="C16" s="54" t="n">
        <x:f>Allocations!R16</x:f>
        <x:v>15</x:v>
      </x:c>
      <x:c r="D16" s="54" t="str">
        <x:v>9 Trapwright + 6 Packleader</x:v>
      </x:c>
      <x:c r="E16" s="54" t="str">
        <x:v>DEX/ATK + VIT/HP; AGI/FLEE is optional against basic-attack-heavy groups.</x:v>
      </x:c>
      <x:c r="F16" s="54" t="str">
        <x:v>A frequent damaging active + another damaging active + defense or area pressure.</x:v>
      </x:c>
      <x:c r="G16" s="54" t="str">
        <x:v>Fluffyak + Moonweaver</x:v>
      </x:c>
      <x:c r="H16" s="54" t="str">
        <x:v>The frontline holds the existing clash while attached Snares and Moonweaver's anchored web work without movement triggers. Killing Ground adds capped area pressure; Tension Wire helps the team absorb incoming hits.</x:v>
      </x:c>
      <x:c r="I16" s="54" t="str">
        <x:v>A later target shift can leave zones behind. FLEE and the secondary-target budget do not make the hunter immune to boss skills.</x:v>
      </x:c>
      <x:c r="J16" s="54" t="str">
        <x:v>Pairing uses supplied v2 species kits; monster stat growth not reallocated</x:v>
      </x:c>
    </x:row>
  </x:sheetData>
  <x:mergeCells>
    <x:mergeCell ref="A1:J2"/>
    <x:mergeCell ref="A3:J3"/>
  </x:mergeCells>
  <x:pageMargins left="0.7" right="0.7" top="0.75" bottom="0.75" header="0.3" footer="0.3"/>
  <x:tableParts count="1">
    <x:tablePart xmlns:r="http://schemas.openxmlformats.org/officeDocument/2006/relationships" r:id="R80f81ecb06684b1e"/>
  </x:tableParts>
</x:worksheet>
</file>

<file path=xl/worksheets/sheet9.xml><?xml version="1.0" encoding="utf-8"?>
<x:worksheet xmlns:x="http://schemas.openxmlformats.org/spreadsheetml/2006/main">
  <x:sheetFormatPr defaultRowHeight="15"/>
  <x:cols>
    <x:col min="1" max="1" width="7" hidden="0" customWidth="1"/>
    <x:col min="2" max="2" width="28" hidden="0" customWidth="1"/>
    <x:col min="3" max="3" width="115" hidden="0" customWidth="1"/>
  </x:cols>
  <x:sheetData>
    <x:row r="1" ht="24" customHeight="1">
      <x:c r="A1" s="4" t="str">
        <x:v>COMBAT RULES &amp; ASSUMPTIONS</x:v>
      </x:c>
      <x:c r="B1" s="4"/>
      <x:c r="C1" s="4"/>
    </x:row>
    <x:row r="2" ht="24" customHeight="1">
      <x:c r="A2" s="4"/>
      <x:c r="B2" s="4"/>
      <x:c r="C2" s="4"/>
    </x:row>
    <x:row r="3" ht="35" customHeight="1">
      <x:c r="A3" s="9" t="str">
        <x:v>Implementation guardrails keep passive chains, summons, shield budgets and trainer death unambiguous.</x:v>
      </x:c>
      <x:c r="B3" s="9"/>
      <x:c r="C3" s="9"/>
    </x:row>
    <x:row r="4" ht="30" customHeight="1">
      <x:c r="A4" s="47" t="str">
        <x:v>No.</x:v>
      </x:c>
      <x:c r="B4" s="47" t="str">
        <x:v>Topic</x:v>
      </x:c>
      <x:c r="C4" s="47" t="str">
        <x:v>Rule / specification</x:v>
      </x:c>
    </x:row>
    <x:row r="5" ht="78" customHeight="1">
      <x:c r="A5" s="76" t="n">
        <x:v>1</x:v>
      </x:c>
      <x:c r="B5" s="76" t="str">
        <x:v>Fixed monster growth</x:v>
      </x:c>
      <x:c r="C5" s="76" t="str">
        <x:v>Monster base-stat curves are never reassigned by these trees. Prior roster phrases such as 'HP build' now mean move selection, compatible equipment/aura bonuses and team pairing—not spendable monster attribute points.</x:v>
      </x:c>
    </x:row>
    <x:row r="6" ht="78" customHeight="1">
      <x:c r="A6" s="76" t="n">
        <x:v>2</x:v>
      </x:c>
      <x:c r="B6" s="76" t="str">
        <x:v>Notation</x:v>
      </x:c>
      <x:c r="C6" s="76" t="str">
        <x:v>A = trainer's current ATK; M = trainer's current MATK; H = trainer's maximum HP. P1/P2 = each equipped monster's declared primary attack stat, after legal buffs. R = the existing prototype's melee-reach distance unit; world-space radii still need calibration.</x:v>
      </x:c>
    </x:row>
    <x:row r="7" ht="78" customHeight="1">
      <x:c r="A7" s="76" t="n">
        <x:v>3</x:v>
      </x:c>
      <x:c r="B7" s="76" t="str">
        <x:v>Core party</x:v>
      </x:c>
      <x:c r="C7" s="76" t="str">
        <x:v>Working party remains one trainer plus two equipped monsters. 'Core ally' includes those three only. More enemies and temporary allied creatures/structures may occupy the free arena.</x:v>
      </x:c>
    </x:row>
    <x:row r="8" ht="78" customHeight="1">
      <x:c r="A8" s="76" t="n">
        <x:v>4</x:v>
      </x:c>
      <x:c r="B8" s="76" t="str">
        <x:v>No new active slots</x:v>
      </x:c>
      <x:c r="C8" s="76" t="str">
        <x:v>All tree effects are passive. Deployments, retaliation and echoes happen automatically; they consume no fourth equipped-skill slot. Existing 4/8/12-second skill tiers remain provisional, not a dependency of these talents.</x:v>
      </x:c>
    </x:row>
    <x:row r="9" ht="78" customHeight="1">
      <x:c r="A9" s="76" t="n">
        <x:v>5</x:v>
      </x:c>
      <x:c r="B9" s="76" t="str">
        <x:v>Personal active</x:v>
      </x:c>
      <x:c r="C9" s="76" t="str">
        <x:v>An actual cast of that unit's equipped skill. In trainer talent text, 'your/personal active' means the trainer's cast; a core-monster cast is named explicitly. Summons, pulses, passive echoes and a spell's multiple hits never become additional casts.</x:v>
      </x:c>
    </x:row>
    <x:row r="10" ht="78" customHeight="1">
      <x:c r="A10" s="76" t="n">
        <x:v>6</x:v>
      </x:c>
      <x:c r="B10" s="76" t="str">
        <x:v>Primary event</x:v>
      </x:c>
      <x:c r="C10" s="76" t="str">
        <x:v>A skill's designated direct primary hit/heal/shield component, or a natural basic attack. A trigger observing one primary event counts once per action, not per AoE victim, animation projectile or periodic tick. Mixed primary heal/ward effects count once for grants.</x:v>
      </x:c>
    </x:row>
    <x:row r="11" ht="78" customHeight="1">
      <x:c r="A11" s="76" t="n">
        <x:v>7</x:v>
      </x:c>
      <x:c r="B11" s="76" t="str">
        <x:v>Extra damage</x:v>
      </x:c>
      <x:c r="C11" s="76" t="str">
        <x:v>All stated bonus damage is pre-mitigation and receives the appropriate damage-type resolution. Bonus packets do not automatically crit, copy control, trigger lifesteal, count as new actions or generate resources. Explicit named talent interactions are exceptions, e.g. Reprisal -&gt; Iron Appetite.</x:v>
      </x:c>
    </x:row>
    <x:row r="12" ht="78" customHeight="1">
      <x:c r="A12" s="76" t="n">
        <x:v>8</x:v>
      </x:c>
      <x:c r="B12" s="76" t="str">
        <x:v>Existing echo compatibility</x:v>
      </x:c>
      <x:c r="C12" s="76" t="str">
        <x:v>Echochime and any skill-copy system must read only the whitelisted base primary skill amount; exclude secondary tree packets, ordered companion attacks, terrain pulses and summon commands. Never copy a whole talent-enhanced event graph.</x:v>
      </x:c>
    </x:row>
    <x:row r="13" ht="78" customHeight="1">
      <x:c r="A13" s="76" t="n">
        <x:v>9</x:v>
      </x:c>
      <x:c r="B13" s="76" t="str">
        <x:v>Stat snapshots</x:v>
      </x:c>
      <x:c r="C13" s="76" t="str">
        <x:v>Ordinary instant payloads use eligible current buffed stats when generated/consumed. Store a numeric payload for a delayed packet. Summon base HP/damage snapshot at deployment; explicit later charges use the trainer's stats when the charge is granted. Do not apply player-to-monster inherited equipment bonuses a second time.</x:v>
      </x:c>
    </x:row>
    <x:row r="14" ht="78" customHeight="1">
      <x:c r="A14" s="76" t="n">
        <x:v>10</x:v>
      </x:c>
      <x:c r="B14" s="76" t="str">
        <x:v>Ranks</x:v>
      </x:c>
      <x:c r="C14" s="76" t="str">
        <x:v>Each rank costs one talent point. Rank 2 replaces the listed rank-1 values rather than adding to them. Talent caps, duration and cooldown rules remain unless explicitly changed.</x:v>
      </x:c>
    </x:row>
    <x:row r="15" ht="78" customHeight="1">
      <x:c r="A15" s="76" t="n">
        <x:v>11</x:v>
      </x:c>
      <x:c r="B15" s="76" t="str">
        <x:v>Basic attacks vs skill timers</x:v>
      </x:c>
      <x:c r="C15" s="76" t="str">
        <x:v>Attack interval/ASPD changes affect natural basic attacks, not active cooldowns or a construct's fixed shot schedule. Respect the final game's attack-speed cap. DEX only improves casting speed if the final active system actually includes reducible cast times.</x:v>
      </x:c>
    </x:row>
    <x:row r="16" ht="78" customHeight="1">
      <x:c r="A16" s="76" t="n">
        <x:v>12</x:v>
      </x:c>
      <x:c r="B16" s="76" t="str">
        <x:v>Reach and targeting</x:v>
      </x:c>
      <x:c r="C16" s="76" t="str">
        <x:v>A mark, order or aura never grants illegal range, attacks through inaccessible positions, forced movement or automatic access to the enemy trainer. Temporary taunts/decoys do not reset target-acquisition rewards. Passive projectiles obey the originating talent's reach specification.</x:v>
      </x:c>
    </x:row>
    <x:row r="17" ht="78" customHeight="1">
      <x:c r="A17" s="76" t="n">
        <x:v>13</x:v>
      </x:c>
      <x:c r="B17" s="76" t="str">
        <x:v>Placement</x:v>
      </x:c>
      <x:c r="C17" s="76" t="str">
        <x:v>Deploy structures at the closest legal free point near the specified ally/anchor. Existing combat targets do not switch simply because a new body appears. Totems do not block pathfinding unless a separate explicitly implemented wall rule says so.</x:v>
      </x:c>
    </x:row>
    <x:row r="18" ht="78" customHeight="1">
      <x:c r="A18" s="76" t="n">
        <x:v>14</x:v>
      </x:c>
      <x:c r="B18" s="76" t="str">
        <x:v>Target priorities</x:v>
      </x:c>
      <x:c r="C18" s="76" t="str">
        <x:v>For 'most injured', use lowest current HP percentage; prefer trainer on exact ties, then stable unit ID. Exclude dead/out-of-range/ineligible units. Ranged AoE secondaries are nearest eligible enemies around the specified anchor, with stable distance/ID tie-breaks.</x:v>
      </x:c>
    </x:row>
    <x:row r="19" ht="78" customHeight="1">
      <x:c r="A19" s="76" t="n">
        <x:v>15</x:v>
      </x:c>
      <x:c r="B19" s="76" t="str">
        <x:v>Summon limits</x:v>
      </x:c>
      <x:c r="C19" s="76" t="str">
        <x:v>Mage: one Lens/Orrery. Druid: one Heartwood, plus one dependent Barkling with capstone. These are per-trainer caps; they do not raise the existing species' own caps. Lens/Orrery is one entity, not multiple separately targetable orbital bodies.</x:v>
      </x:c>
    </x:row>
    <x:row r="20" ht="78" customHeight="1">
      <x:c r="A20" s="76" t="n">
        <x:v>16</x:v>
      </x:c>
      <x:c r="B20" s="76" t="str">
        <x:v>Healing entities</x:v>
      </x:c>
      <x:c r="C20" s="76" t="str">
        <x:v>Ordinary support affects core allies only. Nurse Roots explicitly repairs one summon/structure per tree pulse. It cannot revive, increase the original HP cap, extend lifetime, repair Heartwood, or fire normal healing-received/resource triggers.</x:v>
      </x:c>
    </x:row>
    <x:row r="21" ht="78" customHeight="1">
      <x:c r="A21" s="76" t="n">
        <x:v>17</x:v>
      </x:c>
      <x:c r="B21" s="76" t="str">
        <x:v>No proc farming</x:v>
      </x:c>
      <x:c r="C21" s="76" t="str">
        <x:v>Temporary summons and structures grant no loot, XP, normal kill rewards or core-ally-death rewards. Their actions do not fill Threefold Script, Reprisal, Banner of Three, Crossfire or primary-cast counters.</x:v>
      </x:c>
    </x:row>
    <x:row r="22" ht="78" customHeight="1">
      <x:c r="A22" s="76" t="n">
        <x:v>18</x:v>
      </x:c>
      <x:c r="B22" s="76" t="str">
        <x:v>Shield rules</x:v>
      </x:c>
      <x:c r="C22" s="76" t="str">
        <x:v>Unless a talent explicitly describes an accumulating pool, a same-source shield refreshes/replaces rather than adds another independent full layer. Where multiple ordinary shields exist, consume the earliest-expiring first. Keep named pool caps visible in the UI.</x:v>
      </x:c>
    </x:row>
    <x:row r="23" ht="78" customHeight="1">
      <x:c r="A23" s="76" t="n">
        <x:v>19</x:v>
      </x:c>
      <x:c r="B23" s="76" t="str">
        <x:v>Damage routing</x:v>
      </x:c>
      <x:c r="C23" s="76" t="str">
        <x:v>Resolve ordinary mitigation and one-use incoming-hit protections, then personal shields, then any shared party barrier, then Seed pre-HP protection, then at most one eligible guardian interceptor, then Stagger splitting, then HP loss. No second mitigation pass on intercepted damage or Stagger debt.</x:v>
      </x:c>
    </x:row>
    <x:row r="24" ht="78" customHeight="1">
      <x:c r="A24" s="76" t="n">
        <x:v>20</x:v>
      </x:c>
      <x:c r="B24" s="76" t="str">
        <x:v>Shared barrier and interception</x:v>
      </x:c>
      <x:c r="C24" s="76" t="str">
        <x:v>Prism Sanctuary has one shared remaining-capacity pool, not one full shield per party member. Guardian interception cannot exceed remaining guardian HP; use one interceptor per hit, no chaining. Barkling interception excludes area attacks. Shared-barrier absorption does not become ordinary personal-shield absorption.</x:v>
      </x:c>
    </x:row>
    <x:row r="25" ht="78" customHeight="1">
      <x:c r="A25" s="76" t="n">
        <x:v>21</x:v>
      </x:c>
      <x:c r="B25" s="76" t="str">
        <x:v>Death ordering</x:v>
      </x:c>
      <x:c r="C25" s="76" t="str">
        <x:v>Check lethal HP loss immediately. Trainer death ends the battle before delayed damage, Seeds, threshold barriers, retaliation, lifesteal, entity actions or later event-queue entries can rescue it. A prospective reduction/deferral is valid protection, not resurrection.</x:v>
      </x:c>
    </x:row>
    <x:row r="26" ht="78" customHeight="1">
      <x:c r="A26" s="76" t="n">
        <x:v>22</x:v>
      </x:c>
      <x:c r="B26" s="76" t="str">
        <x:v>Stagger accounting</x:v>
      </x:c>
      <x:c r="C26" s="76" t="str">
        <x:v>Debt ticks retain original due times and cannot be dodged, mitigated, intercepted, shielded or used to produce counters. Outstanding debt has a cap; overflow remains immediate damage. Citadel Heart only removes real remaining debt based on real effective healing.</x:v>
      </x:c>
    </x:row>
    <x:row r="27" ht="78" customHeight="1">
      <x:c r="A27" s="76" t="n">
        <x:v>23</x:v>
      </x:c>
      <x:c r="B27" s="76" t="str">
        <x:v>Multipliers and statuses</x:v>
      </x:c>
      <x:c r="C27" s="76" t="str">
        <x:v>Apply distinct damage reductions multiplicatively; same named debuffs refresh or use the stronger amount, not arbitrary stacking. CRIT/HIT/FLEE remain ratings within the final combat formulas; these proposals do not import every classic Ragnarok critical or defense formula.</x:v>
      </x:c>
    </x:row>
    <x:row r="28" ht="78" customHeight="1">
      <x:c r="A28" s="76" t="n">
        <x:v>24</x:v>
      </x:c>
      <x:c r="B28" s="76" t="str">
        <x:v>Boss and group coverage</x:v>
      </x:c>
      <x:c r="C28" s="76" t="str">
        <x:v>No branch requires an enemy death before contributing. Initial Quarry/Focus, timed Snare snaps, personal-cast Resolve and finite deployables all work against one boss. Area effects have fixed target caps; unused targets never multiply damage into a single boss.</x:v>
      </x:c>
    </x:row>
    <x:row r="29" ht="78" customHeight="1">
      <x:c r="A29" s="76" t="n">
        <x:v>25</x:v>
      </x:c>
      <x:c r="B29" s="76" t="str">
        <x:v>Progression and tuning</x:v>
      </x:c>
      <x:c r="C29" s="76" t="str">
        <x:v>The 15-point budget and all coefficients are starting proposals. Actual class HP curves, monster growth tables, active skill damage/cast times, equipment inheritance rules, encounter length and boss patterns are still needed before balance can be evaluated.</x:v>
      </x:c>
    </x:row>
    <x:row r="30" ht="78" customHeight="1">
      <x:c r="A30" s="76" t="n">
        <x:v>26</x:v>
      </x:c>
      <x:c r="B30" s="76" t="str">
        <x:v>Prototype tests</x:v>
      </x:c>
      <x:c r="C30" s="76" t="str">
        <x:v>Test one slow boss, one rapid-attacking boss, a caster boss, a clustered group, separated ranged enemies and a summon-cleaving encounter. Track time-to-trainer-death, damage prevented/healed, actual summon output, proc counts, skill casts and core-monster participation—not DPS alone.</x:v>
      </x:c>
    </x:row>
    <x:row r="31" ht="78" customHeight="1">
      <x:c r="A31" s="76" t="n">
        <x:v>27</x:v>
      </x:c>
      <x:c r="B31" s="76" t="str">
        <x:v>Known roster follow-up</x:v>
      </x:c>
      <x:c r="C31" s="76" t="str">
        <x:v>The prior species catalog's freely phrased stat priorities should eventually be relabeled as equipment/aura/loadout priorities. This deliverable does not silently change those earlier files or invent the missing predetermined stat curves.</x:v>
      </x:c>
    </x:row>
  </x:sheetData>
  <x:mergeCells>
    <x:mergeCell ref="A1:C2"/>
    <x:mergeCell ref="A3:C3"/>
  </x:mergeCells>
  <x:pageMargins left="0.7" right="0.7" top="0.75" bottom="0.75" header="0.3" footer="0.3"/>
  <x:tableParts count="1">
    <x:tablePart xmlns:r="http://schemas.openxmlformats.org/officeDocument/2006/relationships" r:id="Raa147b3cd25a4b79"/>
  </x:tableParts>
</x:worksheet>
</file>